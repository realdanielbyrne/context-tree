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dict" sheetId="1" state="visible" r:id="rId1"/>
    <sheet name="Rate Card Model" sheetId="2" state="visible" r:id="rId2"/>
    <sheet name="Evidence" sheetId="3" state="visible" r:id="rId3"/>
    <sheet name="Line Detail" sheetId="4" state="visible" r:id="rId4"/>
  </sheets>
  <definedNames>
    <definedName name="_xlnm._FilterDatabase" localSheetId="3" hidden="1">'Line Detail'!$A$4:$R$452</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15">
    <font>
      <name val="Calibri"/>
      <family val="2"/>
      <color theme="1"/>
      <sz val="11"/>
      <scheme val="minor"/>
    </font>
    <font>
      <name val="Calibri"/>
      <b val="1"/>
      <color rgb="00FFFFFF"/>
      <sz val="20"/>
    </font>
    <font>
      <name val="Calibri"/>
      <color rgb="00FFFFFF"/>
      <sz val="11"/>
    </font>
    <font>
      <name val="Calibri"/>
      <b val="1"/>
      <color rgb="001F3350"/>
      <sz val="13"/>
    </font>
    <font>
      <name val="Calibri"/>
      <sz val="10"/>
    </font>
    <font>
      <name val="Calibri"/>
      <b val="1"/>
      <sz val="10"/>
    </font>
    <font>
      <name val="Calibri"/>
      <b val="1"/>
      <color rgb="001F3350"/>
      <sz val="26"/>
    </font>
    <font>
      <name val="Calibri"/>
      <i val="1"/>
      <color rgb="005A6472"/>
      <sz val="9"/>
    </font>
    <font>
      <name val="Calibri"/>
      <b val="1"/>
      <color rgb="00C8102E"/>
      <sz val="26"/>
    </font>
    <font>
      <name val="Calibri"/>
      <b val="1"/>
      <color rgb="007A5C00"/>
      <sz val="26"/>
    </font>
    <font>
      <name val="Calibri"/>
      <b val="1"/>
      <color rgb="00FFFFFF"/>
      <sz val="10"/>
    </font>
    <font>
      <name val="Calibri"/>
      <b val="1"/>
      <color rgb="00C8102E"/>
      <sz val="10"/>
    </font>
    <font>
      <name val="Calibri"/>
      <b val="1"/>
      <color rgb="00C8102E"/>
      <sz val="11"/>
    </font>
    <font>
      <name val="Calibri"/>
      <color rgb="00C8102E"/>
      <sz val="10"/>
    </font>
    <font>
      <name val="Calibri"/>
      <color rgb="008A6D00"/>
      <sz val="10"/>
    </font>
  </fonts>
  <fills count="8">
    <fill>
      <patternFill/>
    </fill>
    <fill>
      <patternFill patternType="gray125"/>
    </fill>
    <fill>
      <patternFill patternType="solid">
        <fgColor rgb="001F3350"/>
      </patternFill>
    </fill>
    <fill>
      <patternFill patternType="solid">
        <fgColor rgb="00EAF0F6"/>
      </patternFill>
    </fill>
    <fill>
      <patternFill patternType="solid">
        <fgColor rgb="00FFF3CD"/>
      </patternFill>
    </fill>
    <fill>
      <patternFill patternType="solid">
        <fgColor rgb="00F4F5F7"/>
      </patternFill>
    </fill>
    <fill>
      <patternFill patternType="solid">
        <fgColor rgb="00E8F4EA"/>
      </patternFill>
    </fill>
    <fill>
      <patternFill patternType="solid">
        <fgColor rgb="00FBFCFD"/>
      </patternFill>
    </fill>
  </fills>
  <borders count="2">
    <border>
      <left/>
      <right/>
      <top/>
      <bottom/>
      <diagonal/>
    </border>
    <border>
      <left style="thin">
        <color rgb="00D0D5DB"/>
      </left>
      <right style="thin">
        <color rgb="00D0D5DB"/>
      </right>
      <top style="thin">
        <color rgb="00D0D5DB"/>
      </top>
      <bottom style="thin">
        <color rgb="00D0D5DB"/>
      </bottom>
    </border>
  </borders>
  <cellStyleXfs count="1">
    <xf numFmtId="0" fontId="0" fillId="0" borderId="0"/>
  </cellStyleXfs>
  <cellXfs count="70">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xf>
    <xf numFmtId="0" fontId="0" fillId="3" borderId="1" pivotButton="0" quotePrefix="0" xfId="0"/>
    <xf numFmtId="0" fontId="6" fillId="3" borderId="1" applyAlignment="1" pivotButton="0" quotePrefix="0" xfId="0">
      <alignment horizontal="center" vertical="center"/>
    </xf>
    <xf numFmtId="0" fontId="8" fillId="3" borderId="1" applyAlignment="1" pivotButton="0" quotePrefix="0" xfId="0">
      <alignment horizontal="center" vertical="center"/>
    </xf>
    <xf numFmtId="0" fontId="9" fillId="3" borderId="1" applyAlignment="1" pivotButton="0" quotePrefix="0" xfId="0">
      <alignment horizontal="center" vertical="center"/>
    </xf>
    <xf numFmtId="0" fontId="7" fillId="3" borderId="1" applyAlignment="1" pivotButton="0" quotePrefix="0" xfId="0">
      <alignment horizontal="center" wrapText="1"/>
    </xf>
    <xf numFmtId="0" fontId="10" fillId="2" borderId="1" applyAlignment="1" pivotButton="0" quotePrefix="0" xfId="0">
      <alignment horizontal="center" vertical="center" wrapText="1"/>
    </xf>
    <xf numFmtId="0" fontId="4" fillId="0" borderId="1" pivotButton="0" quotePrefix="0" xfId="0"/>
    <xf numFmtId="4" fontId="4" fillId="0" borderId="1" pivotButton="0" quotePrefix="0" xfId="0"/>
    <xf numFmtId="0" fontId="0" fillId="0" borderId="1" pivotButton="0" quotePrefix="0" xfId="0"/>
    <xf numFmtId="0" fontId="5" fillId="4" borderId="1" pivotButton="0" quotePrefix="0" xfId="0"/>
    <xf numFmtId="4" fontId="5" fillId="4" borderId="1" pivotButton="0" quotePrefix="0" xfId="0"/>
    <xf numFmtId="4" fontId="11" fillId="4" borderId="1" pivotButton="0" quotePrefix="0" xfId="0"/>
    <xf numFmtId="0" fontId="0" fillId="4" borderId="1" pivotButton="0" quotePrefix="0" xfId="0"/>
    <xf numFmtId="164" fontId="11" fillId="4" borderId="1" pivotButton="0" quotePrefix="0" xfId="0"/>
    <xf numFmtId="0" fontId="5" fillId="0" borderId="0" pivotButton="0" quotePrefix="0" xfId="0"/>
    <xf numFmtId="0" fontId="7" fillId="0" borderId="0" pivotButton="0" quotePrefix="0" xfId="0"/>
    <xf numFmtId="3" fontId="5" fillId="4" borderId="1" pivotButton="0" quotePrefix="0" xfId="0"/>
    <xf numFmtId="10" fontId="5" fillId="4" borderId="1" pivotButton="0" quotePrefix="0" xfId="0"/>
    <xf numFmtId="3" fontId="4" fillId="5" borderId="1" pivotButton="0" quotePrefix="0" xfId="0"/>
    <xf numFmtId="0" fontId="5" fillId="0" borderId="1" pivotButton="0" quotePrefix="0" xfId="0"/>
    <xf numFmtId="3" fontId="5" fillId="5" borderId="1" pivotButton="0" quotePrefix="0" xfId="0"/>
    <xf numFmtId="3" fontId="11" fillId="4" borderId="1" pivotButton="0" quotePrefix="0" xfId="0"/>
    <xf numFmtId="0" fontId="5" fillId="5" borderId="1" pivotButton="0" quotePrefix="0" xfId="0"/>
    <xf numFmtId="10" fontId="5" fillId="5" borderId="1" applyAlignment="1" pivotButton="0" quotePrefix="0" xfId="0">
      <alignment horizontal="center"/>
    </xf>
    <xf numFmtId="164" fontId="5" fillId="5" borderId="1" pivotButton="0" quotePrefix="0" xfId="0"/>
    <xf numFmtId="165" fontId="5" fillId="5" borderId="1" pivotButton="0" quotePrefix="0" xfId="0"/>
    <xf numFmtId="10" fontId="4" fillId="0" borderId="1" applyAlignment="1" pivotButton="0" quotePrefix="0" xfId="0">
      <alignment horizontal="center"/>
    </xf>
    <xf numFmtId="3" fontId="4" fillId="0" borderId="1" pivotButton="0" quotePrefix="0" xfId="0"/>
    <xf numFmtId="164" fontId="0" fillId="0" borderId="1" pivotButton="0" quotePrefix="0" xfId="0"/>
    <xf numFmtId="165" fontId="0" fillId="0" borderId="1" pivotButton="0" quotePrefix="0" xfId="0"/>
    <xf numFmtId="10" fontId="5" fillId="4" borderId="1" applyAlignment="1" pivotButton="0" quotePrefix="0" xfId="0">
      <alignment horizontal="center"/>
    </xf>
    <xf numFmtId="164" fontId="5" fillId="4" borderId="1" pivotButton="0" quotePrefix="0" xfId="0"/>
    <xf numFmtId="165" fontId="5" fillId="4" borderId="1" pivotButton="0" quotePrefix="0" xfId="0"/>
    <xf numFmtId="0" fontId="4" fillId="6" borderId="1" pivotButton="0" quotePrefix="0" xfId="0"/>
    <xf numFmtId="10" fontId="4" fillId="6" borderId="1" applyAlignment="1" pivotButton="0" quotePrefix="0" xfId="0">
      <alignment horizontal="center"/>
    </xf>
    <xf numFmtId="3" fontId="4" fillId="6" borderId="1" pivotButton="0" quotePrefix="0" xfId="0"/>
    <xf numFmtId="164" fontId="0" fillId="6" borderId="1" pivotButton="0" quotePrefix="0" xfId="0"/>
    <xf numFmtId="165" fontId="0" fillId="6" borderId="1" pivotButton="0" quotePrefix="0" xfId="0"/>
    <xf numFmtId="9" fontId="4" fillId="0" borderId="1" applyAlignment="1" pivotButton="0" quotePrefix="0" xfId="0">
      <alignment horizontal="center"/>
    </xf>
    <xf numFmtId="9" fontId="5" fillId="4"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3" fontId="4" fillId="4" borderId="1" pivotButton="0" quotePrefix="0" xfId="0"/>
    <xf numFmtId="0" fontId="7" fillId="0" borderId="1" pivotButton="0" quotePrefix="0" xfId="0"/>
    <xf numFmtId="0" fontId="7" fillId="0" borderId="0" applyAlignment="1" pivotButton="0" quotePrefix="0" xfId="0">
      <alignment vertical="top" wrapText="1"/>
    </xf>
    <xf numFmtId="0" fontId="7" fillId="4" borderId="1" pivotButton="0" quotePrefix="0" xfId="0"/>
    <xf numFmtId="166" fontId="12" fillId="4" borderId="1" pivotButton="0" quotePrefix="0" xfId="0"/>
    <xf numFmtId="0" fontId="4" fillId="0" borderId="1" applyAlignment="1" pivotButton="0" quotePrefix="0" xfId="0">
      <alignment horizontal="center"/>
    </xf>
    <xf numFmtId="164" fontId="4" fillId="0" borderId="1" applyAlignment="1" pivotButton="0" quotePrefix="0" xfId="0">
      <alignment horizontal="center"/>
    </xf>
    <xf numFmtId="4" fontId="4" fillId="6" borderId="1" pivotButton="0" quotePrefix="0" xfId="0"/>
    <xf numFmtId="4" fontId="5" fillId="6" borderId="1" pivotButton="0" quotePrefix="0" xfId="0"/>
    <xf numFmtId="0" fontId="5" fillId="6" borderId="1" pivotButton="0" quotePrefix="0" xfId="0"/>
    <xf numFmtId="0" fontId="5" fillId="6" borderId="1" applyAlignment="1" pivotButton="0" quotePrefix="0" xfId="0">
      <alignment horizontal="center"/>
    </xf>
    <xf numFmtId="0" fontId="7" fillId="6" borderId="1" pivotButton="0" quotePrefix="0" xfId="0"/>
    <xf numFmtId="4" fontId="13" fillId="0" borderId="1" pivotButton="0" quotePrefix="0" xfId="0"/>
    <xf numFmtId="167" fontId="4" fillId="0" borderId="1" pivotButton="0" quotePrefix="0" xfId="0"/>
    <xf numFmtId="0" fontId="14" fillId="5" borderId="1" applyAlignment="1" pivotButton="0" quotePrefix="0" xfId="0">
      <alignment horizontal="center"/>
    </xf>
    <xf numFmtId="0" fontId="4" fillId="7" borderId="1" pivotButton="0" quotePrefix="0" xfId="0"/>
    <xf numFmtId="3" fontId="4" fillId="7" borderId="1" pivotButton="0" quotePrefix="0" xfId="0"/>
    <xf numFmtId="4" fontId="4" fillId="7" borderId="1" pivotButton="0" quotePrefix="0" xfId="0"/>
    <xf numFmtId="4" fontId="13" fillId="7" borderId="1" pivotButton="0" quotePrefix="0" xfId="0"/>
    <xf numFmtId="0" fontId="4" fillId="7" borderId="1" applyAlignment="1" pivotButton="0" quotePrefix="0" xfId="0">
      <alignment horizontal="center"/>
    </xf>
    <xf numFmtId="167"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3" customWidth="1" min="1" max="1"/>
    <col width="30" customWidth="1" min="2" max="2"/>
    <col width="20" customWidth="1" min="3" max="3"/>
    <col width="20" customWidth="1" min="4" max="4"/>
    <col width="20" customWidth="1" min="5" max="5"/>
    <col width="20" customWidth="1" min="6" max="6"/>
    <col width="18" customWidth="1" min="7" max="7"/>
    <col width="18" customWidth="1" min="8" max="8"/>
  </cols>
  <sheetData>
    <row r="1" ht="34" customHeight="1">
      <c r="A1" s="1" t="inlineStr">
        <is>
          <t>RPMx vs. Vulcan Materials — Kirby-Smith Komatsu Parts Pricing</t>
        </is>
      </c>
      <c r="B1" s="2" t="n"/>
      <c r="C1" s="2" t="n"/>
      <c r="D1" s="2" t="n"/>
      <c r="E1" s="2" t="n"/>
      <c r="F1" s="2" t="n"/>
      <c r="G1" s="2" t="n"/>
      <c r="H1" s="2" t="n"/>
    </row>
    <row r="2" ht="20" customHeight="1">
      <c r="A2" s="3" t="inlineStr">
        <is>
          <t>Benchmark: Kirby-Smith invoice W6195910 (Vulcan Materials, WA900-3E0 rebuild) vs. RPMx Komatsu Master price file 05-13-2026</t>
        </is>
      </c>
      <c r="B2" s="2" t="n"/>
      <c r="C2" s="2" t="n"/>
      <c r="D2" s="2" t="n"/>
      <c r="E2" s="2" t="n"/>
      <c r="F2" s="2" t="n"/>
      <c r="G2" s="2" t="n"/>
      <c r="H2" s="2" t="n"/>
    </row>
    <row r="4">
      <c r="B4" s="4" t="inlineStr">
        <is>
          <t>THE VERDICT</t>
        </is>
      </c>
    </row>
    <row r="5" ht="46" customHeight="1">
      <c r="B5" s="5" t="inlineStr">
        <is>
          <t>RPMx is paying materially more than Vulcan Materials for identical Komatsu parts. RPMx holds a flat 8.00% discount off Komatsu list on every one of 439,690 SKUs. On the benchmark invoice, Kirby-Smith granted Vulcan a 20.68% effective discount off the same list — a 12.69-point gap.</t>
        </is>
      </c>
    </row>
    <row r="7">
      <c r="B7" s="6" t="inlineStr">
        <is>
          <t>RPMx discount off list</t>
        </is>
      </c>
      <c r="C7" s="7" t="n"/>
      <c r="D7" s="6" t="inlineStr">
        <is>
          <t>Vulcan effective discount</t>
        </is>
      </c>
      <c r="E7" s="7" t="n"/>
      <c r="F7" s="6" t="inlineStr">
        <is>
          <t>Gap</t>
        </is>
      </c>
      <c r="G7" s="7" t="n"/>
    </row>
    <row r="8" ht="40" customHeight="1">
      <c r="B8" s="8" t="inlineStr">
        <is>
          <t>8.00%</t>
        </is>
      </c>
      <c r="C8" s="7" t="n"/>
      <c r="D8" s="9" t="inlineStr">
        <is>
          <t>20.68%</t>
        </is>
      </c>
      <c r="E8" s="7" t="n"/>
      <c r="F8" s="10" t="inlineStr">
        <is>
          <t>12.69 pts</t>
        </is>
      </c>
      <c r="G8" s="7" t="n"/>
    </row>
    <row r="9" ht="30" customHeight="1">
      <c r="B9" s="11" t="inlineStr">
        <is>
          <t>Flat, all 439,690 SKUs in the master file</t>
        </is>
      </c>
      <c r="C9" s="7" t="n"/>
      <c r="D9" s="11" t="inlineStr">
        <is>
          <t>$104,799.09 discount on $506,651.07 of parts</t>
        </is>
      </c>
      <c r="E9" s="7" t="n"/>
      <c r="F9" s="11" t="inlineStr">
        <is>
          <t>RPMx pays ~16% more for the same basket</t>
        </is>
      </c>
      <c r="G9" s="7" t="n"/>
    </row>
    <row r="12">
      <c r="B12" s="4" t="inlineStr">
        <is>
          <t>SAME BASKET, TWO CUSTOMERS</t>
        </is>
      </c>
    </row>
    <row r="13" ht="28" customHeight="1">
      <c r="A13" s="12" t="inlineStr"/>
      <c r="B13" s="12" t="inlineStr">
        <is>
          <t>Line</t>
        </is>
      </c>
      <c r="C13" s="12" t="inlineStr">
        <is>
          <t>Vulcan (20.68%)</t>
        </is>
      </c>
      <c r="D13" s="12" t="inlineStr">
        <is>
          <t>RPMx (8.00%)</t>
        </is>
      </c>
      <c r="E13" s="12" t="inlineStr">
        <is>
          <t>RPMx penalty</t>
        </is>
      </c>
      <c r="F13" s="12" t="inlineStr"/>
    </row>
    <row r="14">
      <c r="B14" s="13" t="inlineStr">
        <is>
          <t>Komatsu parts at list price (invoice W6195910)</t>
        </is>
      </c>
      <c r="C14" s="14" t="n">
        <v>506651.07</v>
      </c>
      <c r="D14" s="14" t="n">
        <v>506651.07</v>
      </c>
      <c r="E14" s="15" t="n"/>
    </row>
    <row r="15">
      <c r="B15" s="13" t="inlineStr">
        <is>
          <t>Less customer discount</t>
        </is>
      </c>
      <c r="C15" s="14" t="n">
        <v>-104799.09</v>
      </c>
      <c r="D15" s="14" t="n">
        <v>-40532.0856</v>
      </c>
      <c r="E15" s="15" t="n"/>
    </row>
    <row r="16">
      <c r="B16" s="16" t="inlineStr">
        <is>
          <t>NET PARTS COST</t>
        </is>
      </c>
      <c r="C16" s="17" t="n">
        <v>401851.98</v>
      </c>
      <c r="D16" s="17" t="n">
        <v>466118.9844</v>
      </c>
      <c r="E16" s="18" t="n">
        <v>64267.00440000003</v>
      </c>
    </row>
    <row r="17">
      <c r="B17" s="16" t="inlineStr">
        <is>
          <t>RPMx premium on the identical parts basket</t>
        </is>
      </c>
      <c r="C17" s="19" t="n"/>
      <c r="D17" s="19" t="n"/>
      <c r="E17" s="20" t="n">
        <v>0.1599270567237221</v>
      </c>
    </row>
    <row r="19">
      <c r="B19" s="4" t="inlineStr">
        <is>
          <t>WHAT IT IS WORTH TO CLOSE THE GAP</t>
        </is>
      </c>
    </row>
    <row r="20" ht="46" customHeight="1">
      <c r="B20" s="5" t="inlineStr">
        <is>
          <t>At $8.5M of annual Kirby-Smith spend with an 80% parts mix, moving from 8% to Vulcan-equivalent 20.68% is worth $937.5K per year — $2.81M over a three-year agreement. Every single point of discount is worth $73.9K/yr. See the 'Rate Card Model' tab for the full tier table and sensitivities.</t>
        </is>
      </c>
    </row>
    <row r="22">
      <c r="B22" s="4" t="inlineStr">
        <is>
          <t>THE NEGOTIATING POSITION</t>
        </is>
      </c>
    </row>
    <row r="23">
      <c r="B23" s="21" t="inlineStr">
        <is>
          <t>1. Anchor on parity, not on percentage-off-invoice.</t>
        </is>
      </c>
    </row>
    <row r="24" ht="30" customHeight="1">
      <c r="B24" s="5" t="inlineStr">
        <is>
          <t>Vulcan's 20.68% is an effective blended rate we measured from a real Kirby-Smith invoice. Ask for the same discount matrix, not a headline number.</t>
        </is>
      </c>
    </row>
    <row r="26">
      <c r="B26" s="21" t="inlineStr">
        <is>
          <t>2. RPMx volume is comparable or better.</t>
        </is>
      </c>
    </row>
    <row r="27" ht="30" customHeight="1">
      <c r="B27" s="5" t="inlineStr">
        <is>
          <t>$8-12M/yr of business against a flat 8% is well below what a Komatsu dealer typically concedes at that tier. The 8% looks like an un-renegotiated default.</t>
        </is>
      </c>
    </row>
    <row r="29">
      <c r="B29" s="21" t="inlineStr">
        <is>
          <t>3. Ask for the category matrix, not one flat number.</t>
        </is>
      </c>
    </row>
    <row r="30" ht="30" customHeight="1">
      <c r="B30" s="5" t="inlineStr">
        <is>
          <t>Vulcan's 20.68% is a blend. Fluids, cores and freight likely carry little or no discount, which implies wear parts and components are discounted above 21%. A flat replacement rate below ~21% leaves money on the table.</t>
        </is>
      </c>
    </row>
    <row r="32">
      <c r="B32" s="21" t="inlineStr">
        <is>
          <t>4. Fallback positions worth pre-pricing.</t>
        </is>
      </c>
    </row>
    <row r="33" ht="30" customHeight="1">
      <c r="B33" s="5" t="inlineStr">
        <is>
          <t>15% = $517K/yr. 17.5% = $702K/yr. 20% = $887K/yr. Anything under 12% is a rounding error against this spend.</t>
        </is>
      </c>
    </row>
    <row r="35">
      <c r="B35" s="21" t="inlineStr">
        <is>
          <t>5. Reman is where the dollars concentrate.</t>
        </is>
      </c>
    </row>
    <row r="36" ht="30" customHeight="1">
      <c r="B36" s="5" t="inlineStr">
        <is>
          <t>One reman engine ($143K) and one reman transmission ($107K) are 49% of this invoice's parts value. Confirm reman carries the same discount tier and is not carved out.</t>
        </is>
      </c>
    </row>
    <row r="38">
      <c r="B38" s="22" t="inlineStr">
        <is>
          <t>Prepared from the two source documents named in the subtitle. Method, reconciliation proof and caveats on the 'Evidence' tab.</t>
        </is>
      </c>
    </row>
  </sheetData>
  <mergeCells count="18">
    <mergeCell ref="D8:E8"/>
    <mergeCell ref="B36:H36"/>
    <mergeCell ref="D7:E7"/>
    <mergeCell ref="B7:C7"/>
    <mergeCell ref="B27:H27"/>
    <mergeCell ref="B5:H5"/>
    <mergeCell ref="A2:H2"/>
    <mergeCell ref="B24:H24"/>
    <mergeCell ref="B30:H30"/>
    <mergeCell ref="B33:H33"/>
    <mergeCell ref="A1:H1"/>
    <mergeCell ref="B9:C9"/>
    <mergeCell ref="D9:E9"/>
    <mergeCell ref="B8:C8"/>
    <mergeCell ref="B20:H20"/>
    <mergeCell ref="F9:G9"/>
    <mergeCell ref="F7:G7"/>
    <mergeCell ref="F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
  <sheetViews>
    <sheetView showGridLines="0" workbookViewId="0">
      <selection activeCell="A1" sqref="A1"/>
    </sheetView>
  </sheetViews>
  <sheetFormatPr baseColWidth="8" defaultRowHeight="15"/>
  <cols>
    <col width="3" customWidth="1" min="1" max="1"/>
    <col width="34"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ht="34" customHeight="1">
      <c r="A1" s="1" t="inlineStr">
        <is>
          <t>Rate Card Model — What Each Discount Tier Is Worth</t>
        </is>
      </c>
      <c r="B1" s="2" t="n"/>
      <c r="C1" s="2" t="n"/>
      <c r="D1" s="2" t="n"/>
      <c r="E1" s="2" t="n"/>
      <c r="F1" s="2" t="n"/>
      <c r="G1" s="2" t="n"/>
      <c r="H1" s="2" t="n"/>
      <c r="I1" s="2" t="n"/>
    </row>
    <row r="2" ht="20" customHeight="1">
      <c r="A2" s="3" t="inlineStr">
        <is>
          <t>Annual value of moving off RPMx's current 8.00% flat discount, at $8.5M of annual Kirby-Smith spend</t>
        </is>
      </c>
      <c r="B2" s="2" t="n"/>
      <c r="C2" s="2" t="n"/>
      <c r="D2" s="2" t="n"/>
      <c r="E2" s="2" t="n"/>
      <c r="F2" s="2" t="n"/>
      <c r="G2" s="2" t="n"/>
      <c r="H2" s="2" t="n"/>
      <c r="I2" s="2" t="n"/>
    </row>
    <row r="4">
      <c r="B4" s="4" t="inlineStr">
        <is>
          <t>ASSUMPTIONS (edit the yellow cells — everything below recalculates)</t>
        </is>
      </c>
    </row>
    <row r="5">
      <c r="B5" s="13" t="inlineStr">
        <is>
          <t>Annual spend with Kirby-Smith (as invoiced / paid)</t>
        </is>
      </c>
      <c r="C5" s="23" t="n">
        <v>8500000</v>
      </c>
    </row>
    <row r="6">
      <c r="B6" s="13" t="inlineStr">
        <is>
          <t>Parts share of that spend</t>
        </is>
      </c>
      <c r="C6" s="24" t="n">
        <v>0.8</v>
      </c>
    </row>
    <row r="7">
      <c r="B7" s="13" t="inlineStr">
        <is>
          <t>RPMx current discount off Komatsu list</t>
        </is>
      </c>
      <c r="C7" s="24" t="n">
        <v>0.08</v>
      </c>
    </row>
    <row r="8">
      <c r="B8" s="13" t="inlineStr">
        <is>
          <t>→ Annual parts spend, net (as paid)</t>
        </is>
      </c>
      <c r="C8" s="25">
        <f>C5*C6</f>
        <v/>
      </c>
    </row>
    <row r="9">
      <c r="B9" s="26" t="inlineStr">
        <is>
          <t>→ Equivalent gross value at Komatsu list</t>
        </is>
      </c>
      <c r="C9" s="27">
        <f>C8/(1-C7)</f>
        <v/>
      </c>
      <c r="D9" s="22" t="inlineStr">
        <is>
          <t>This is the base every discount point applies to.</t>
        </is>
      </c>
    </row>
    <row r="10">
      <c r="B10" s="26" t="inlineStr">
        <is>
          <t>→ Value of ONE point of additional discount</t>
        </is>
      </c>
      <c r="C10" s="28">
        <f>C9*0.01</f>
        <v/>
      </c>
    </row>
    <row r="13">
      <c r="B13" s="4" t="inlineStr">
        <is>
          <t>TIER TABLE — annual and multi-year value of each discount level</t>
        </is>
      </c>
    </row>
    <row r="14" ht="28" customHeight="1">
      <c r="A14" s="12" t="inlineStr"/>
      <c r="B14" s="12" t="inlineStr">
        <is>
          <t>Tier</t>
        </is>
      </c>
      <c r="C14" s="12" t="inlineStr">
        <is>
          <t>Discount</t>
        </is>
      </c>
      <c r="D14" s="12" t="inlineStr">
        <is>
          <t>Net parts cost /yr</t>
        </is>
      </c>
      <c r="E14" s="12" t="inlineStr">
        <is>
          <t>Annual saving vs 8%</t>
        </is>
      </c>
      <c r="F14" s="12" t="inlineStr">
        <is>
          <t>3-year saving</t>
        </is>
      </c>
      <c r="G14" s="12" t="inlineStr">
        <is>
          <t>5-year saving</t>
        </is>
      </c>
      <c r="H14" s="12" t="inlineStr">
        <is>
          <t>Saving as % of total spend</t>
        </is>
      </c>
      <c r="I14" s="12" t="inlineStr">
        <is>
          <t>Points gained</t>
        </is>
      </c>
    </row>
    <row r="15">
      <c r="B15" s="29" t="inlineStr">
        <is>
          <t>RPMx today — flat, all SKUs</t>
        </is>
      </c>
      <c r="C15" s="30" t="n">
        <v>0.08</v>
      </c>
      <c r="D15" s="27">
        <f>$C$9*(1-C15)</f>
        <v/>
      </c>
      <c r="E15" s="27">
        <f>$C$9*(C15-$C$7)</f>
        <v/>
      </c>
      <c r="F15" s="27">
        <f>E15*3</f>
        <v/>
      </c>
      <c r="G15" s="27">
        <f>E15*5</f>
        <v/>
      </c>
      <c r="H15" s="31">
        <f>E15/$C$5</f>
        <v/>
      </c>
      <c r="I15" s="32">
        <f>(C15-$C$7)*100</f>
        <v/>
      </c>
    </row>
    <row r="16">
      <c r="B16" s="13" t="inlineStr">
        <is>
          <t>Token move — not worth signing for</t>
        </is>
      </c>
      <c r="C16" s="33" t="n">
        <v>0.1</v>
      </c>
      <c r="D16" s="34">
        <f>$C$9*(1-C16)</f>
        <v/>
      </c>
      <c r="E16" s="34">
        <f>$C$9*(C16-$C$7)</f>
        <v/>
      </c>
      <c r="F16" s="34">
        <f>E16*3</f>
        <v/>
      </c>
      <c r="G16" s="34">
        <f>E16*5</f>
        <v/>
      </c>
      <c r="H16" s="35">
        <f>E16/$C$5</f>
        <v/>
      </c>
      <c r="I16" s="36">
        <f>(C16-$C$7)*100</f>
        <v/>
      </c>
    </row>
    <row r="17">
      <c r="B17" s="13" t="inlineStr">
        <is>
          <t>Weak outcome</t>
        </is>
      </c>
      <c r="C17" s="33" t="n">
        <v>0.12</v>
      </c>
      <c r="D17" s="34">
        <f>$C$9*(1-C17)</f>
        <v/>
      </c>
      <c r="E17" s="34">
        <f>$C$9*(C17-$C$7)</f>
        <v/>
      </c>
      <c r="F17" s="34">
        <f>E17*3</f>
        <v/>
      </c>
      <c r="G17" s="34">
        <f>E17*5</f>
        <v/>
      </c>
      <c r="H17" s="35">
        <f>E17/$C$5</f>
        <v/>
      </c>
      <c r="I17" s="36">
        <f>(C17-$C$7)*100</f>
        <v/>
      </c>
    </row>
    <row r="18">
      <c r="B18" s="13" t="inlineStr">
        <is>
          <t>Minimum defensible target</t>
        </is>
      </c>
      <c r="C18" s="33" t="n">
        <v>0.15</v>
      </c>
      <c r="D18" s="34">
        <f>$C$9*(1-C18)</f>
        <v/>
      </c>
      <c r="E18" s="34">
        <f>$C$9*(C18-$C$7)</f>
        <v/>
      </c>
      <c r="F18" s="34">
        <f>E18*3</f>
        <v/>
      </c>
      <c r="G18" s="34">
        <f>E18*5</f>
        <v/>
      </c>
      <c r="H18" s="35">
        <f>E18/$C$5</f>
        <v/>
      </c>
      <c r="I18" s="36">
        <f>(C18-$C$7)*100</f>
        <v/>
      </c>
    </row>
    <row r="19">
      <c r="B19" s="13" t="inlineStr">
        <is>
          <t>Solid outcome</t>
        </is>
      </c>
      <c r="C19" s="33" t="n">
        <v>0.175</v>
      </c>
      <c r="D19" s="34">
        <f>$C$9*(1-C19)</f>
        <v/>
      </c>
      <c r="E19" s="34">
        <f>$C$9*(C19-$C$7)</f>
        <v/>
      </c>
      <c r="F19" s="34">
        <f>E19*3</f>
        <v/>
      </c>
      <c r="G19" s="34">
        <f>E19*5</f>
        <v/>
      </c>
      <c r="H19" s="35">
        <f>E19/$C$5</f>
        <v/>
      </c>
      <c r="I19" s="36">
        <f>(C19-$C$7)*100</f>
        <v/>
      </c>
    </row>
    <row r="20">
      <c r="B20" s="13" t="inlineStr">
        <is>
          <t>Strong outcome</t>
        </is>
      </c>
      <c r="C20" s="33" t="n">
        <v>0.2</v>
      </c>
      <c r="D20" s="34">
        <f>$C$9*(1-C20)</f>
        <v/>
      </c>
      <c r="E20" s="34">
        <f>$C$9*(C20-$C$7)</f>
        <v/>
      </c>
      <c r="F20" s="34">
        <f>E20*3</f>
        <v/>
      </c>
      <c r="G20" s="34">
        <f>E20*5</f>
        <v/>
      </c>
      <c r="H20" s="35">
        <f>E20/$C$5</f>
        <v/>
      </c>
      <c r="I20" s="36">
        <f>(C20-$C$7)*100</f>
        <v/>
      </c>
    </row>
    <row r="21">
      <c r="B21" s="16" t="inlineStr">
        <is>
          <t>VULCAN PARITY (measured)</t>
        </is>
      </c>
      <c r="C21" s="37" t="n">
        <v>0.2068466765499972</v>
      </c>
      <c r="D21" s="23">
        <f>$C$9*(1-C21)</f>
        <v/>
      </c>
      <c r="E21" s="23">
        <f>$C$9*(C21-$C$7)</f>
        <v/>
      </c>
      <c r="F21" s="23">
        <f>E21*3</f>
        <v/>
      </c>
      <c r="G21" s="23">
        <f>E21*5</f>
        <v/>
      </c>
      <c r="H21" s="38">
        <f>E21/$C$5</f>
        <v/>
      </c>
      <c r="I21" s="39">
        <f>(C21-$C$7)*100</f>
        <v/>
      </c>
    </row>
    <row r="22">
      <c r="B22" s="40" t="inlineStr">
        <is>
          <t>Stretch</t>
        </is>
      </c>
      <c r="C22" s="41" t="n">
        <v>0.225</v>
      </c>
      <c r="D22" s="42">
        <f>$C$9*(1-C22)</f>
        <v/>
      </c>
      <c r="E22" s="42">
        <f>$C$9*(C22-$C$7)</f>
        <v/>
      </c>
      <c r="F22" s="42">
        <f>E22*3</f>
        <v/>
      </c>
      <c r="G22" s="42">
        <f>E22*5</f>
        <v/>
      </c>
      <c r="H22" s="43">
        <f>E22/$C$5</f>
        <v/>
      </c>
      <c r="I22" s="44">
        <f>(C22-$C$7)*100</f>
        <v/>
      </c>
    </row>
    <row r="23">
      <c r="B23" s="40" t="inlineStr">
        <is>
          <t>Best case</t>
        </is>
      </c>
      <c r="C23" s="41" t="n">
        <v>0.25</v>
      </c>
      <c r="D23" s="42">
        <f>$C$9*(1-C23)</f>
        <v/>
      </c>
      <c r="E23" s="42">
        <f>$C$9*(C23-$C$7)</f>
        <v/>
      </c>
      <c r="F23" s="42">
        <f>E23*3</f>
        <v/>
      </c>
      <c r="G23" s="42">
        <f>E23*5</f>
        <v/>
      </c>
      <c r="H23" s="43">
        <f>E23/$C$5</f>
        <v/>
      </c>
      <c r="I23" s="44">
        <f>(C23-$C$7)*100</f>
        <v/>
      </c>
    </row>
    <row r="24">
      <c r="B24" s="22" t="inlineStr">
        <is>
          <t>Saving = (gross list value) x (new discount − 8%). Discount applies to parts only; labor, sublet and freight are unaffected.</t>
        </is>
      </c>
    </row>
    <row r="27">
      <c r="B27" s="4" t="inlineStr">
        <is>
          <t>SENSITIVITY 1 — value of reaching Vulcan parity (20.68%) if the parts mix is different</t>
        </is>
      </c>
    </row>
    <row r="28" ht="28" customHeight="1">
      <c r="A28" s="12" t="inlineStr"/>
      <c r="B28" s="12" t="inlineStr">
        <is>
          <t>Mix scenario</t>
        </is>
      </c>
      <c r="C28" s="12" t="inlineStr">
        <is>
          <t>Parts share</t>
        </is>
      </c>
      <c r="D28" s="12" t="inlineStr">
        <is>
          <t>Net parts spend</t>
        </is>
      </c>
      <c r="E28" s="12" t="inlineStr">
        <is>
          <t>Gross at list</t>
        </is>
      </c>
      <c r="F28" s="12" t="inlineStr">
        <is>
          <t>Annual saving at parity</t>
        </is>
      </c>
      <c r="G28" s="12" t="inlineStr">
        <is>
          <t>Value per point</t>
        </is>
      </c>
    </row>
    <row r="29">
      <c r="B29" s="13" t="inlineStr">
        <is>
          <t>60% of spend is parts</t>
        </is>
      </c>
      <c r="C29" s="45" t="n">
        <v>0.6</v>
      </c>
      <c r="D29" s="34">
        <f>$C$5*C29</f>
        <v/>
      </c>
      <c r="E29" s="34">
        <f>D29/(1-$C$7)</f>
        <v/>
      </c>
      <c r="F29" s="34">
        <f>E29*(0.20684667654999722-$C$7)</f>
        <v/>
      </c>
      <c r="G29" s="34">
        <f>E29*0.01</f>
        <v/>
      </c>
    </row>
    <row r="30">
      <c r="B30" s="13" t="inlineStr">
        <is>
          <t>70% of spend is parts</t>
        </is>
      </c>
      <c r="C30" s="45" t="n">
        <v>0.7</v>
      </c>
      <c r="D30" s="34">
        <f>$C$5*C30</f>
        <v/>
      </c>
      <c r="E30" s="34">
        <f>D30/(1-$C$7)</f>
        <v/>
      </c>
      <c r="F30" s="34">
        <f>E30*(0.20684667654999722-$C$7)</f>
        <v/>
      </c>
      <c r="G30" s="34">
        <f>E30*0.01</f>
        <v/>
      </c>
    </row>
    <row r="31">
      <c r="B31" s="16" t="inlineStr">
        <is>
          <t>80% of spend is parts</t>
        </is>
      </c>
      <c r="C31" s="46" t="n">
        <v>0.8</v>
      </c>
      <c r="D31" s="23">
        <f>$C$5*C31</f>
        <v/>
      </c>
      <c r="E31" s="23">
        <f>D31/(1-$C$7)</f>
        <v/>
      </c>
      <c r="F31" s="23">
        <f>E31*(0.20684667654999722-$C$7)</f>
        <v/>
      </c>
      <c r="G31" s="23">
        <f>E31*0.01</f>
        <v/>
      </c>
    </row>
    <row r="32">
      <c r="B32" s="13" t="inlineStr">
        <is>
          <t>90% of spend is parts</t>
        </is>
      </c>
      <c r="C32" s="45" t="n">
        <v>0.9</v>
      </c>
      <c r="D32" s="34">
        <f>$C$5*C32</f>
        <v/>
      </c>
      <c r="E32" s="34">
        <f>D32/(1-$C$7)</f>
        <v/>
      </c>
      <c r="F32" s="34">
        <f>E32*(0.20684667654999722-$C$7)</f>
        <v/>
      </c>
      <c r="G32" s="34">
        <f>E32*0.01</f>
        <v/>
      </c>
    </row>
    <row r="33">
      <c r="B33" s="13" t="inlineStr">
        <is>
          <t>100% of spend is parts</t>
        </is>
      </c>
      <c r="C33" s="45" t="n">
        <v>1</v>
      </c>
      <c r="D33" s="34">
        <f>$C$5*C33</f>
        <v/>
      </c>
      <c r="E33" s="34">
        <f>D33/(1-$C$7)</f>
        <v/>
      </c>
      <c r="F33" s="34">
        <f>E33*(0.20684667654999722-$C$7)</f>
        <v/>
      </c>
      <c r="G33" s="34">
        <f>E33*0.01</f>
        <v/>
      </c>
    </row>
    <row r="34">
      <c r="B34" s="22" t="inlineStr">
        <is>
          <t>80% is the parts share observed on the benchmark invoice ($506,651 parts of $619,688 pre-discount charges). Adjust to RPMx's actual mix.</t>
        </is>
      </c>
    </row>
    <row r="37">
      <c r="B37" s="4" t="inlineStr">
        <is>
          <t>SENSITIVITY 2 — value of reaching parity across the $8M–$12M spend range</t>
        </is>
      </c>
    </row>
    <row r="38" ht="28" customHeight="1">
      <c r="A38" s="12" t="inlineStr"/>
      <c r="B38" s="12" t="inlineStr">
        <is>
          <t>Scenario</t>
        </is>
      </c>
      <c r="C38" s="12" t="inlineStr">
        <is>
          <t>Annual Kirby-Smith spend</t>
        </is>
      </c>
      <c r="D38" s="12" t="inlineStr">
        <is>
          <t>Gross parts at list (80% mix)</t>
        </is>
      </c>
      <c r="E38" s="12" t="inlineStr">
        <is>
          <t>Saving at 15%</t>
        </is>
      </c>
      <c r="F38" s="12" t="inlineStr">
        <is>
          <t>Saving at 17.5%</t>
        </is>
      </c>
      <c r="G38" s="12" t="inlineStr">
        <is>
          <t>Saving at parity 20.68%</t>
        </is>
      </c>
      <c r="H38" s="12" t="inlineStr">
        <is>
          <t>Saving at 25%</t>
        </is>
      </c>
    </row>
    <row r="39">
      <c r="B39" s="47" t="inlineStr">
        <is>
          <t>$8.0M</t>
        </is>
      </c>
      <c r="C39" s="34" t="n">
        <v>8000000</v>
      </c>
      <c r="D39" s="34">
        <f>C39*$C$6/(1-$C$7)</f>
        <v/>
      </c>
      <c r="E39" s="34">
        <f>D39*(0.15-$C$7)</f>
        <v/>
      </c>
      <c r="F39" s="34">
        <f>D39*(0.175-$C$7)</f>
        <v/>
      </c>
      <c r="G39" s="34">
        <f>D39*(0.20684667654999722-$C$7)</f>
        <v/>
      </c>
      <c r="H39" s="34">
        <f>D39*(0.25-$C$7)</f>
        <v/>
      </c>
    </row>
    <row r="40">
      <c r="B40" s="48" t="inlineStr">
        <is>
          <t>$8.5M</t>
        </is>
      </c>
      <c r="C40" s="49" t="n">
        <v>8500000</v>
      </c>
      <c r="D40" s="49">
        <f>C40*$C$6/(1-$C$7)</f>
        <v/>
      </c>
      <c r="E40" s="49">
        <f>D40*(0.15-$C$7)</f>
        <v/>
      </c>
      <c r="F40" s="49">
        <f>D40*(0.175-$C$7)</f>
        <v/>
      </c>
      <c r="G40" s="49">
        <f>D40*(0.20684667654999722-$C$7)</f>
        <v/>
      </c>
      <c r="H40" s="49">
        <f>D40*(0.25-$C$7)</f>
        <v/>
      </c>
    </row>
    <row r="41">
      <c r="B41" s="47" t="inlineStr">
        <is>
          <t>$9.0M</t>
        </is>
      </c>
      <c r="C41" s="34" t="n">
        <v>9000000</v>
      </c>
      <c r="D41" s="34">
        <f>C41*$C$6/(1-$C$7)</f>
        <v/>
      </c>
      <c r="E41" s="34">
        <f>D41*(0.15-$C$7)</f>
        <v/>
      </c>
      <c r="F41" s="34">
        <f>D41*(0.175-$C$7)</f>
        <v/>
      </c>
      <c r="G41" s="34">
        <f>D41*(0.20684667654999722-$C$7)</f>
        <v/>
      </c>
      <c r="H41" s="34">
        <f>D41*(0.25-$C$7)</f>
        <v/>
      </c>
    </row>
    <row r="42">
      <c r="B42" s="47" t="inlineStr">
        <is>
          <t>$10.0M</t>
        </is>
      </c>
      <c r="C42" s="34" t="n">
        <v>10000000</v>
      </c>
      <c r="D42" s="34">
        <f>C42*$C$6/(1-$C$7)</f>
        <v/>
      </c>
      <c r="E42" s="34">
        <f>D42*(0.15-$C$7)</f>
        <v/>
      </c>
      <c r="F42" s="34">
        <f>D42*(0.175-$C$7)</f>
        <v/>
      </c>
      <c r="G42" s="34">
        <f>D42*(0.20684667654999722-$C$7)</f>
        <v/>
      </c>
      <c r="H42" s="34">
        <f>D42*(0.25-$C$7)</f>
        <v/>
      </c>
    </row>
    <row r="43">
      <c r="B43" s="47" t="inlineStr">
        <is>
          <t>$11.0M</t>
        </is>
      </c>
      <c r="C43" s="34" t="n">
        <v>11000000</v>
      </c>
      <c r="D43" s="34">
        <f>C43*$C$6/(1-$C$7)</f>
        <v/>
      </c>
      <c r="E43" s="34">
        <f>D43*(0.15-$C$7)</f>
        <v/>
      </c>
      <c r="F43" s="34">
        <f>D43*(0.175-$C$7)</f>
        <v/>
      </c>
      <c r="G43" s="34">
        <f>D43*(0.20684667654999722-$C$7)</f>
        <v/>
      </c>
      <c r="H43" s="34">
        <f>D43*(0.25-$C$7)</f>
        <v/>
      </c>
    </row>
    <row r="44">
      <c r="B44" s="47" t="inlineStr">
        <is>
          <t>$12.0M</t>
        </is>
      </c>
      <c r="C44" s="34" t="n">
        <v>12000000</v>
      </c>
      <c r="D44" s="34">
        <f>C44*$C$6/(1-$C$7)</f>
        <v/>
      </c>
      <c r="E44" s="34">
        <f>D44*(0.15-$C$7)</f>
        <v/>
      </c>
      <c r="F44" s="34">
        <f>D44*(0.175-$C$7)</f>
        <v/>
      </c>
      <c r="G44" s="34">
        <f>D44*(0.20684667654999722-$C$7)</f>
        <v/>
      </c>
      <c r="H44" s="34">
        <f>D44*(0.25-$C$7)</f>
        <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
  <sheetViews>
    <sheetView showGridLines="0" workbookViewId="0">
      <selection activeCell="A1" sqref="A1"/>
    </sheetView>
  </sheetViews>
  <sheetFormatPr baseColWidth="8" defaultRowHeight="15"/>
  <cols>
    <col width="3" customWidth="1" min="1" max="1"/>
    <col width="46" customWidth="1" min="2" max="2"/>
    <col width="20" customWidth="1" min="3" max="3"/>
    <col width="20" customWidth="1" min="4" max="4"/>
    <col width="20" customWidth="1" min="5" max="5"/>
    <col width="22" customWidth="1" min="6" max="6"/>
    <col width="22" customWidth="1" min="7" max="7"/>
  </cols>
  <sheetData>
    <row r="1" ht="34" customHeight="1">
      <c r="A1" s="1" t="inlineStr">
        <is>
          <t>Evidence — How These Numbers Were Derived</t>
        </is>
      </c>
      <c r="B1" s="2" t="n"/>
      <c r="C1" s="2" t="n"/>
      <c r="D1" s="2" t="n"/>
      <c r="E1" s="2" t="n"/>
      <c r="F1" s="2" t="n"/>
      <c r="G1" s="2" t="n"/>
    </row>
    <row r="2" ht="20" customHeight="1">
      <c r="A2" s="3" t="inlineStr">
        <is>
          <t>Every figure below traces to one of the two source documents; nothing is estimated except where explicitly labelled</t>
        </is>
      </c>
      <c r="B2" s="2" t="n"/>
      <c r="C2" s="2" t="n"/>
      <c r="D2" s="2" t="n"/>
      <c r="E2" s="2" t="n"/>
      <c r="F2" s="2" t="n"/>
      <c r="G2" s="2" t="n"/>
    </row>
    <row r="4">
      <c r="B4" s="4" t="inlineStr">
        <is>
          <t>SOURCE DOCUMENTS</t>
        </is>
      </c>
    </row>
    <row r="5">
      <c r="B5" s="21" t="inlineStr">
        <is>
          <t>Vulcan benchmark</t>
        </is>
      </c>
      <c r="C5" s="5" t="inlineStr">
        <is>
          <t>WA900.pdf — Kirby-Smith Machinery SERVICE INVOICE W6195910 (reprint 09/23/25)</t>
        </is>
      </c>
    </row>
    <row r="6">
      <c r="B6" s="21" t="inlineStr"/>
      <c r="C6" s="5" t="inlineStr">
        <is>
          <t>Bill-to: Vulcan Materials Company. Ship-to: Vulcan Materials (Weatherford). Branch: Ft Worth. PO 771198334.</t>
        </is>
      </c>
    </row>
    <row r="7">
      <c r="B7" s="21" t="inlineStr"/>
      <c r="C7" s="5" t="inlineStr">
        <is>
          <t>Unit: Komatsu WA900-3E0 wheel loader, S/N 60293, stock K181240. Work 12/19/24 – 07/28/25. 23 pages, 15 repair segments.</t>
        </is>
      </c>
    </row>
    <row r="8">
      <c r="B8" s="21" t="inlineStr">
        <is>
          <t>RPMx price file</t>
        </is>
      </c>
      <c r="C8" s="5" t="inlineStr">
        <is>
          <t>RPMX Komatsu Master 05-13-2026.xlsx — 439,699 rows: Part Number, Description, List price, RPMx-Price, Discount.</t>
        </is>
      </c>
    </row>
    <row r="10">
      <c r="B10" s="4" t="inlineStr">
        <is>
          <t>FINDING 1 — RPMx's discount is a flat 8.00%, with no exceptions</t>
        </is>
      </c>
    </row>
    <row r="11" ht="28" customHeight="1">
      <c r="A11" s="12" t="inlineStr"/>
      <c r="B11" s="12" t="inlineStr">
        <is>
          <t>Test</t>
        </is>
      </c>
      <c r="C11" s="12" t="inlineStr">
        <is>
          <t>Result</t>
        </is>
      </c>
      <c r="D11" s="12" t="inlineStr">
        <is>
          <t>Note</t>
        </is>
      </c>
    </row>
    <row r="12">
      <c r="B12" s="13" t="inlineStr">
        <is>
          <t>Rows in the RPMx master file</t>
        </is>
      </c>
      <c r="C12" s="47" t="inlineStr">
        <is>
          <t>439,699</t>
        </is>
      </c>
      <c r="D12" s="50" t="inlineStr"/>
    </row>
    <row r="13">
      <c r="B13" s="13" t="inlineStr">
        <is>
          <t>Rows carrying a discount value</t>
        </is>
      </c>
      <c r="C13" s="47" t="inlineStr">
        <is>
          <t>439,690</t>
        </is>
      </c>
      <c r="D13" s="50" t="inlineStr">
        <is>
          <t>9 rows blank</t>
        </is>
      </c>
    </row>
    <row r="14">
      <c r="B14" s="13" t="inlineStr">
        <is>
          <t>Distinct discount rates across all 439,690 rows</t>
        </is>
      </c>
      <c r="C14" s="47" t="inlineStr">
        <is>
          <t>1</t>
        </is>
      </c>
      <c r="D14" s="50" t="inlineStr">
        <is>
          <t>Every row = 8.00%</t>
        </is>
      </c>
    </row>
    <row r="15">
      <c r="B15" s="13" t="inlineStr">
        <is>
          <t>RPMx discount off Komatsu list</t>
        </is>
      </c>
      <c r="C15" s="47" t="inlineStr">
        <is>
          <t>8.00%</t>
        </is>
      </c>
      <c r="D15" s="50" t="inlineStr">
        <is>
          <t>No tiering by category, component class or volume</t>
        </is>
      </c>
    </row>
    <row r="16" ht="28" customHeight="1">
      <c r="B16" s="51" t="inlineStr">
        <is>
          <t>Verified directly: the 'Discount' column is 0.08 on every populated row. The file's 'List price' column is arithmetically RPMx-Price / 0.92, confirming 8% is the single applied rate rather than an average of a matrix.</t>
        </is>
      </c>
    </row>
    <row r="18">
      <c r="B18" s="4" t="inlineStr">
        <is>
          <t>FINDING 2 — Vulcan's effective discount is 20.68%, read off the invoice's own total block</t>
        </is>
      </c>
    </row>
    <row r="19" ht="28" customHeight="1">
      <c r="A19" s="12" t="inlineStr"/>
      <c r="B19" s="12" t="inlineStr">
        <is>
          <t>Invoice W6195910, page 23 totals</t>
        </is>
      </c>
      <c r="C19" s="12" t="inlineStr">
        <is>
          <t>Amount</t>
        </is>
      </c>
      <c r="D19" s="12" t="inlineStr">
        <is>
          <t>Source</t>
        </is>
      </c>
    </row>
    <row r="20">
      <c r="B20" s="13" t="inlineStr">
        <is>
          <t>Parts (extended at list)</t>
        </is>
      </c>
      <c r="C20" s="14" t="n">
        <v>506651.07</v>
      </c>
      <c r="D20" s="50" t="inlineStr">
        <is>
          <t>Printed: PARTS</t>
        </is>
      </c>
    </row>
    <row r="21">
      <c r="B21" s="13" t="inlineStr">
        <is>
          <t>Labor</t>
        </is>
      </c>
      <c r="C21" s="14" t="n">
        <v>90532.73</v>
      </c>
      <c r="D21" s="50" t="inlineStr">
        <is>
          <t>Printed: LABOR</t>
        </is>
      </c>
    </row>
    <row r="22">
      <c r="B22" s="13" t="inlineStr">
        <is>
          <t>Sublet</t>
        </is>
      </c>
      <c r="C22" s="14" t="n">
        <v>17344.23</v>
      </c>
      <c r="D22" s="50" t="inlineStr">
        <is>
          <t>Printed: SUBLET</t>
        </is>
      </c>
    </row>
    <row r="23">
      <c r="B23" s="13" t="inlineStr">
        <is>
          <t>During-hour heat treat</t>
        </is>
      </c>
      <c r="C23" s="14" t="n">
        <v>4920</v>
      </c>
      <c r="D23" s="50" t="inlineStr">
        <is>
          <t>Printed: DURING HR HT</t>
        </is>
      </c>
    </row>
    <row r="24">
      <c r="B24" s="13" t="inlineStr">
        <is>
          <t>Field material heat treat</t>
        </is>
      </c>
      <c r="C24" s="14" t="n">
        <v>240</v>
      </c>
      <c r="D24" s="50" t="inlineStr">
        <is>
          <t>Printed: FIELD MAT HT</t>
        </is>
      </c>
    </row>
    <row r="25">
      <c r="B25" s="16" t="inlineStr">
        <is>
          <t>Discount</t>
        </is>
      </c>
      <c r="C25" s="17" t="n">
        <v>-104799.09</v>
      </c>
      <c r="D25" s="52" t="inlineStr">
        <is>
          <t>Printed: DISCOUNT 104,799.09-</t>
        </is>
      </c>
    </row>
    <row r="26">
      <c r="B26" s="13" t="inlineStr">
        <is>
          <t>Subtotal</t>
        </is>
      </c>
      <c r="C26" s="14" t="n">
        <v>514888.94</v>
      </c>
      <c r="D26" s="50" t="inlineStr">
        <is>
          <t>Printed: SUB TOTAL</t>
        </is>
      </c>
    </row>
    <row r="27">
      <c r="B27" s="13" t="inlineStr">
        <is>
          <t>Texas sales tax 6.25%</t>
        </is>
      </c>
      <c r="C27" s="14" t="n">
        <v>5658.42</v>
      </c>
      <c r="D27" s="50" t="inlineStr">
        <is>
          <t>Printed: TEXAS 6.25%</t>
        </is>
      </c>
    </row>
    <row r="28">
      <c r="B28" s="16" t="inlineStr">
        <is>
          <t>Invoice total</t>
        </is>
      </c>
      <c r="C28" s="17" t="n">
        <v>520547.36</v>
      </c>
      <c r="D28" s="52" t="inlineStr">
        <is>
          <t>Printed: ON ACCOUNT</t>
        </is>
      </c>
    </row>
    <row r="29">
      <c r="B29" s="16" t="inlineStr">
        <is>
          <t>Vulcan effective discount = 104,799.09 / 506,651.07</t>
        </is>
      </c>
      <c r="C29" s="53" t="n">
        <v>0.2068466765499972</v>
      </c>
      <c r="D29" s="19" t="n"/>
    </row>
    <row r="31">
      <c r="B31" s="4" t="inlineStr">
        <is>
          <t>FINDING 3 — the invoice's line prices are Komatsu LIST, so the two discounts are directly comparable</t>
        </is>
      </c>
    </row>
    <row r="32" ht="30" customHeight="1">
      <c r="B32" s="5" t="inlineStr">
        <is>
          <t>This is the load-bearing assumption, and it is testable. The invoice carries a single DISCOUNT line at the bottom rather than discounting each line, which already implies line prices are gross. Confirming it: when every matched line's unit price is divided by the master file's list price, the results do not scatter — they fall into tight discrete clusters (0.9067 on 72 lines, 0.8382 on 47 lines, 0.8160 on 44, 0.8081 on 23). Those clusters appear WITHIN a single repair segment billed on a single date, so they cannot be a discount (a discount would be one rate) and they cannot be a billing-date effect. They are Komatsu price-file escalation applied at different rates to different product groups between the invoice's price file and the 05-13-2026 master. Both documents therefore quote list; the discounts are comparable.</t>
        </is>
      </c>
    </row>
    <row r="33"/>
    <row r="34"/>
    <row r="36" ht="28" customHeight="1">
      <c r="A36" s="12" t="inlineStr"/>
      <c r="B36" s="12" t="inlineStr">
        <is>
          <t>Cluster (invoice unit ÷ master list)</t>
        </is>
      </c>
      <c r="C36" s="12" t="inlineStr">
        <is>
          <t>Lines</t>
        </is>
      </c>
      <c r="D36" s="12" t="inlineStr">
        <is>
          <t>Implied price increase since invoice</t>
        </is>
      </c>
    </row>
    <row r="37">
      <c r="B37" s="54" t="inlineStr">
        <is>
          <t>0.9067</t>
        </is>
      </c>
      <c r="C37" s="54" t="n">
        <v>72</v>
      </c>
      <c r="D37" s="55" t="n">
        <v>0.1029006286533585</v>
      </c>
    </row>
    <row r="38">
      <c r="B38" s="54" t="inlineStr">
        <is>
          <t>0.8382</t>
        </is>
      </c>
      <c r="C38" s="54" t="n">
        <v>47</v>
      </c>
      <c r="D38" s="55" t="n">
        <v>0.1930326890956813</v>
      </c>
    </row>
    <row r="39">
      <c r="B39" s="54" t="inlineStr">
        <is>
          <t>0.8160</t>
        </is>
      </c>
      <c r="C39" s="54" t="n">
        <v>44</v>
      </c>
      <c r="D39" s="55" t="n">
        <v>0.2254901960784315</v>
      </c>
    </row>
    <row r="40">
      <c r="B40" s="54" t="inlineStr">
        <is>
          <t>0.8081</t>
        </is>
      </c>
      <c r="C40" s="54" t="n">
        <v>23</v>
      </c>
      <c r="D40" s="55" t="n">
        <v>0.2374706100730106</v>
      </c>
    </row>
    <row r="41">
      <c r="B41" s="54" t="inlineStr">
        <is>
          <t>0.8460</t>
        </is>
      </c>
      <c r="C41" s="54" t="n">
        <v>16</v>
      </c>
      <c r="D41" s="55" t="n">
        <v>0.1820330969267139</v>
      </c>
    </row>
    <row r="42">
      <c r="B42" s="54" t="inlineStr">
        <is>
          <t>0.8800</t>
        </is>
      </c>
      <c r="C42" s="54" t="n">
        <v>16</v>
      </c>
      <c r="D42" s="55" t="n">
        <v>0.1363636363636365</v>
      </c>
    </row>
    <row r="44">
      <c r="B44" s="4" t="inlineStr">
        <is>
          <t>FINDING 4 — transcription accuracy: the extracted lines reconcile to the invoice's printed subtotals</t>
        </is>
      </c>
    </row>
    <row r="45" ht="28" customHeight="1">
      <c r="B45" s="5" t="inlineStr">
        <is>
          <t>The PDF has no text layer (scanned images), so all 448 line items were read off the page directly. Independent check: the extracted lines were re-totalled per repair segment and compared to the totals Kirby-Smith printed on the invoice.</t>
        </is>
      </c>
    </row>
    <row r="46" ht="28" customHeight="1">
      <c r="A46" s="12" t="inlineStr"/>
      <c r="B46" s="12" t="inlineStr">
        <is>
          <t>Reconciliation</t>
        </is>
      </c>
      <c r="C46" s="12" t="inlineStr">
        <is>
          <t>Extracted</t>
        </is>
      </c>
      <c r="D46" s="12" t="inlineStr">
        <is>
          <t>Printed on invoice</t>
        </is>
      </c>
      <c r="E46" s="12" t="inlineStr">
        <is>
          <t>Variance</t>
        </is>
      </c>
    </row>
    <row r="47">
      <c r="B47" s="40" t="inlineStr">
        <is>
          <t>Parts, all 13 billed segments</t>
        </is>
      </c>
      <c r="C47" s="56" t="n">
        <v>506651.16</v>
      </c>
      <c r="D47" s="56" t="n">
        <v>506651.07</v>
      </c>
      <c r="E47" s="57" t="n">
        <v>0.08999999996740371</v>
      </c>
    </row>
    <row r="48">
      <c r="B48" s="40" t="inlineStr">
        <is>
          <t>Sublet, all segments</t>
        </is>
      </c>
      <c r="C48" s="56" t="n">
        <v>17344.23</v>
      </c>
      <c r="D48" s="56" t="n">
        <v>17344.23</v>
      </c>
      <c r="E48" s="57" t="n">
        <v>0</v>
      </c>
    </row>
    <row r="49">
      <c r="B49" s="22" t="inlineStr">
        <is>
          <t>12 of 13 segments reconcile to the penny. The $0.09 sits in segment 6 and is a rounding artifact in a printed extended amount, not a missed line. Variance = 0.00002% of parts value.</t>
        </is>
      </c>
    </row>
    <row r="51">
      <c r="B51" s="4" t="inlineStr">
        <is>
          <t>FINDING 5 — match coverage between the invoice and the RPMx master file</t>
        </is>
      </c>
    </row>
    <row r="52" ht="28" customHeight="1">
      <c r="A52" s="12" t="inlineStr"/>
      <c r="B52" s="12" t="inlineStr">
        <is>
          <t>Category</t>
        </is>
      </c>
      <c r="C52" s="12" t="inlineStr">
        <is>
          <t>Lines</t>
        </is>
      </c>
      <c r="D52" s="12" t="inlineStr">
        <is>
          <t>Extended value</t>
        </is>
      </c>
      <c r="E52" s="12" t="inlineStr">
        <is>
          <t>Effect on the analysis</t>
        </is>
      </c>
    </row>
    <row r="53">
      <c r="B53" s="58" t="inlineStr">
        <is>
          <t>Matched to a part number in the RPMx master file</t>
        </is>
      </c>
      <c r="C53" s="59" t="n">
        <v>347</v>
      </c>
      <c r="D53" s="57" t="n">
        <v>459858.5</v>
      </c>
      <c r="E53" s="60" t="inlineStr">
        <is>
          <t>Direct per-part comparison available</t>
        </is>
      </c>
    </row>
    <row r="54">
      <c r="B54" s="13" t="inlineStr">
        <is>
          <t>Gates hyd. fitting (non-Komatsu)</t>
        </is>
      </c>
      <c r="C54" s="54" t="n">
        <v>64</v>
      </c>
      <c r="D54" s="14" t="n">
        <v>26814.89000000001</v>
      </c>
      <c r="E54" s="50" t="inlineStr">
        <is>
          <t>Third-party fittings; correctly absent from a Komatsu file</t>
        </is>
      </c>
    </row>
    <row r="55">
      <c r="B55" s="13" t="inlineStr">
        <is>
          <t>Core charge / credit</t>
        </is>
      </c>
      <c r="C55" s="54" t="n">
        <v>19</v>
      </c>
      <c r="D55" s="14" t="n">
        <v>689.9999999999995</v>
      </c>
      <c r="E55" s="50" t="inlineStr">
        <is>
          <t>Core lines net to zero across the invoice; no price impact</t>
        </is>
      </c>
    </row>
    <row r="56">
      <c r="B56" s="13" t="inlineStr">
        <is>
          <t>Freight-in</t>
        </is>
      </c>
      <c r="C56" s="54" t="n">
        <v>7</v>
      </c>
      <c r="D56" s="14" t="n">
        <v>1058.77</v>
      </c>
      <c r="E56" s="50" t="inlineStr">
        <is>
          <t>Not a part; carried at cost</t>
        </is>
      </c>
    </row>
    <row r="57">
      <c r="B57" s="13" t="inlineStr">
        <is>
          <t>Sublet / outside service</t>
        </is>
      </c>
      <c r="C57" s="54" t="n">
        <v>6</v>
      </c>
      <c r="D57" s="14" t="n">
        <v>17344.23</v>
      </c>
      <c r="E57" s="50" t="inlineStr">
        <is>
          <t>Outside vendor work; excluded from the parts discount base</t>
        </is>
      </c>
    </row>
    <row r="58">
      <c r="B58" s="13" t="inlineStr">
        <is>
          <t>Komatsu PN not in master file</t>
        </is>
      </c>
      <c r="C58" s="54" t="n">
        <v>5</v>
      </c>
      <c r="D58" s="14" t="n">
        <v>18229</v>
      </c>
      <c r="E58" s="50" t="inlineStr">
        <is>
          <t>Superseded or dealer-specific numbers</t>
        </is>
      </c>
    </row>
    <row r="59" ht="28" customHeight="1">
      <c r="B59" s="51" t="inlineStr">
        <is>
          <t>Coverage is not a constraint on the verdict. The headline comparison — 8.00% vs 20.68% — is taken from the invoice's own total block and the master file's own discount column, neither of which depends on matching individual part numbers.</t>
        </is>
      </c>
    </row>
    <row r="61">
      <c r="B61" s="4" t="inlineStr">
        <is>
          <t>CAVEATS — read these before the meeting</t>
        </is>
      </c>
    </row>
    <row r="62" ht="30" customHeight="1">
      <c r="B62" s="21" t="inlineStr">
        <is>
          <t>One invoice, one machine.</t>
        </is>
      </c>
      <c r="C62" s="5" t="inlineStr">
        <is>
          <t>20.68% is Vulcan's effective blended rate on this work order. A different mix of parts would give a slightly different blend. It is a strong data point, not a published rate card.</t>
        </is>
      </c>
    </row>
    <row r="63" ht="30" customHeight="1">
      <c r="B63" s="21" t="inlineStr">
        <is>
          <t>The 20.68% is a blend, not a single tier.</t>
        </is>
      </c>
      <c r="C63" s="5" t="inlineStr">
        <is>
          <t>Dealers discount by category. Cores, fluids and freight typically carry little or no discount. Stripping freight and fluids out of the base raises Vulcan's implied rate on ordinary parts to roughly 21.1%. The true wear-parts tier is therefore at or above 21%.</t>
        </is>
      </c>
    </row>
    <row r="64" ht="30" customHeight="1">
      <c r="B64" s="21" t="inlineStr">
        <is>
          <t>Price-file vintage differs.</t>
        </is>
      </c>
      <c r="C64" s="5" t="inlineStr">
        <is>
          <t>Invoice prices are from the Dec-2024/Jul-2025 Komatsu file; the RPMx master is dated 05-13-2026. This is why absolute dollar comparisons per part are not used for the verdict — the discount-rate comparison is vintage-neutral.</t>
        </is>
      </c>
    </row>
    <row r="65" ht="30" customHeight="1">
      <c r="B65" s="21" t="inlineStr">
        <is>
          <t>Reman prices moved more than wear parts.</t>
        </is>
      </c>
      <c r="C65" s="5" t="inlineStr">
        <is>
          <t>Reman components (R-prefix) show invoice-to-master ratios of 0.56–0.76 versus 0.81–0.91 for wear parts. Confirm with Kirby-Smith whether reman sits in the same discount tier; it is 49% of this invoice's parts value.</t>
        </is>
      </c>
    </row>
    <row r="66" ht="30" customHeight="1">
      <c r="B66" s="21" t="inlineStr">
        <is>
          <t>$8.5M is the modelled spend.</t>
        </is>
      </c>
      <c r="C66" s="5" t="inlineStr">
        <is>
          <t>The user-stated range is $8–12M. The Rate Card tab is driven off editable assumption cells and includes the full $8–12M range.</t>
        </is>
      </c>
    </row>
    <row r="67" ht="30" customHeight="1">
      <c r="B67" s="21" t="inlineStr">
        <is>
          <t>Parts share is an assumption.</t>
        </is>
      </c>
      <c r="C67" s="5" t="inlineStr">
        <is>
          <t>The model defaults to 80%, the share observed on this invoice. RPMx's real parts-vs-labor-vs-equipment mix should replace it before the number is quoted externally.</t>
        </is>
      </c>
    </row>
  </sheetData>
  <mergeCells count="16">
    <mergeCell ref="B16:G16"/>
    <mergeCell ref="C7:G7"/>
    <mergeCell ref="A1:G1"/>
    <mergeCell ref="C67:G67"/>
    <mergeCell ref="B59:G59"/>
    <mergeCell ref="B32:G34"/>
    <mergeCell ref="C6:G6"/>
    <mergeCell ref="C62:G62"/>
    <mergeCell ref="C65:G65"/>
    <mergeCell ref="B45:G45"/>
    <mergeCell ref="C63:G63"/>
    <mergeCell ref="C66:G66"/>
    <mergeCell ref="C5:G5"/>
    <mergeCell ref="A2:G2"/>
    <mergeCell ref="C8:G8"/>
    <mergeCell ref="C64:G6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53"/>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5" customWidth="1" min="1" max="1"/>
    <col width="5" customWidth="1" min="2" max="2"/>
    <col width="28" customWidth="1" min="3" max="3"/>
    <col width="20" customWidth="1" min="4" max="4"/>
    <col width="20" customWidth="1" min="5" max="5"/>
    <col width="7" customWidth="1" min="6" max="6"/>
    <col width="12" customWidth="1" min="7" max="7"/>
    <col width="14" customWidth="1" min="8" max="8"/>
    <col width="14" customWidth="1" min="9" max="9"/>
    <col width="13" customWidth="1" min="10" max="10"/>
    <col width="13" customWidth="1" min="11" max="11"/>
    <col width="13" customWidth="1" min="12" max="12"/>
    <col width="14" customWidth="1" min="13" max="13"/>
    <col width="11" customWidth="1" min="14" max="14"/>
    <col width="30" customWidth="1" min="15" max="15"/>
    <col width="16" customWidth="1" min="16" max="16"/>
    <col width="16" customWidth="1" min="17" max="17"/>
    <col width="13" customWidth="1" min="18" max="18"/>
  </cols>
  <sheetData>
    <row r="1" ht="34" customHeight="1">
      <c r="A1" s="1" t="inlineStr">
        <is>
          <t>Line Detail — All 448 Invoice Lines</t>
        </is>
      </c>
      <c r="B1" s="2" t="n"/>
      <c r="C1" s="2" t="n"/>
      <c r="D1" s="2" t="n"/>
      <c r="E1" s="2" t="n"/>
      <c r="F1" s="2" t="n"/>
      <c r="G1" s="2" t="n"/>
      <c r="H1" s="2" t="n"/>
      <c r="I1" s="2" t="n"/>
      <c r="J1" s="2" t="n"/>
      <c r="K1" s="2" t="n"/>
      <c r="L1" s="2" t="n"/>
      <c r="M1" s="2" t="n"/>
      <c r="N1" s="2" t="n"/>
      <c r="O1" s="2" t="n"/>
      <c r="P1" s="2" t="n"/>
      <c r="Q1" s="2" t="n"/>
      <c r="R1" s="2" t="n"/>
    </row>
    <row r="2" ht="20" customHeight="1">
      <c r="A2" s="3" t="inlineStr">
        <is>
          <t>Kirby-Smith invoice W6195910 restated at Vulcan's 20.68% and RPMx's 8.00%, using the invoice's own list prices</t>
        </is>
      </c>
      <c r="B2" s="2" t="n"/>
      <c r="C2" s="2" t="n"/>
      <c r="D2" s="2" t="n"/>
      <c r="E2" s="2" t="n"/>
      <c r="F2" s="2" t="n"/>
      <c r="G2" s="2" t="n"/>
      <c r="H2" s="2" t="n"/>
      <c r="I2" s="2" t="n"/>
      <c r="J2" s="2" t="n"/>
      <c r="K2" s="2" t="n"/>
      <c r="L2" s="2" t="n"/>
      <c r="M2" s="2" t="n"/>
      <c r="N2" s="2" t="n"/>
      <c r="O2" s="2" t="n"/>
      <c r="P2" s="2" t="n"/>
      <c r="Q2" s="2" t="n"/>
      <c r="R2" s="2" t="n"/>
    </row>
    <row r="4" ht="28" customHeight="1">
      <c r="A4" s="12" t="inlineStr">
        <is>
          <t>Pg</t>
        </is>
      </c>
      <c r="B4" s="12" t="inlineStr">
        <is>
          <t>Seg</t>
        </is>
      </c>
      <c r="C4" s="12" t="inlineStr">
        <is>
          <t>Segment</t>
        </is>
      </c>
      <c r="D4" s="12" t="inlineStr">
        <is>
          <t>Part number</t>
        </is>
      </c>
      <c r="E4" s="12" t="inlineStr">
        <is>
          <t>Description</t>
        </is>
      </c>
      <c r="F4" s="12" t="inlineStr">
        <is>
          <t>Qty</t>
        </is>
      </c>
      <c r="G4" s="12" t="inlineStr">
        <is>
          <t>Unit (list)</t>
        </is>
      </c>
      <c r="H4" s="12" t="inlineStr">
        <is>
          <t>Extended (list)</t>
        </is>
      </c>
      <c r="I4" s="12" t="inlineStr">
        <is>
          <t>Vulcan unit @20.68%</t>
        </is>
      </c>
      <c r="J4" s="12" t="inlineStr">
        <is>
          <t>Vulcan ext</t>
        </is>
      </c>
      <c r="K4" s="12" t="inlineStr">
        <is>
          <t>RPMx unit @8%</t>
        </is>
      </c>
      <c r="L4" s="12" t="inlineStr">
        <is>
          <t>RPMx ext</t>
        </is>
      </c>
      <c r="M4" s="12" t="inlineStr">
        <is>
          <t>RPMx pays more</t>
        </is>
      </c>
      <c r="N4" s="12" t="inlineStr">
        <is>
          <t>Match</t>
        </is>
      </c>
      <c r="O4" s="12" t="inlineStr">
        <is>
          <t>If no match, why</t>
        </is>
      </c>
      <c r="P4" s="12" t="inlineStr">
        <is>
          <t>Master list 05-2026</t>
        </is>
      </c>
      <c r="Q4" s="12" t="inlineStr">
        <is>
          <t>RPMx net 05-2026</t>
        </is>
      </c>
      <c r="R4" s="12" t="inlineStr">
        <is>
          <t>Inv ÷ master list</t>
        </is>
      </c>
    </row>
    <row r="5">
      <c r="A5" s="13" t="n">
        <v>1</v>
      </c>
      <c r="B5" s="13" t="n">
        <v>1</v>
      </c>
      <c r="C5" s="13" t="inlineStr">
        <is>
          <t>R&amp;I ENGINE</t>
        </is>
      </c>
      <c r="D5" s="13" t="inlineStr">
        <is>
          <t>01010-E1050</t>
        </is>
      </c>
      <c r="E5" s="13" t="inlineStr">
        <is>
          <t>BOLT TEST</t>
        </is>
      </c>
      <c r="F5" s="34" t="n">
        <v>2</v>
      </c>
      <c r="G5" s="14" t="n">
        <v>4.02</v>
      </c>
      <c r="H5" s="14" t="n">
        <v>8.039999999999999</v>
      </c>
      <c r="I5" s="14" t="n">
        <v>3.188476360269011</v>
      </c>
      <c r="J5" s="14" t="n">
        <v>6.376952720538021</v>
      </c>
      <c r="K5" s="14" t="n">
        <v>3.6984</v>
      </c>
      <c r="L5" s="14" t="n">
        <v>7.3968</v>
      </c>
      <c r="M5" s="61" t="n">
        <v>1.019847279461978</v>
      </c>
      <c r="N5" s="54" t="inlineStr">
        <is>
          <t>MATCH</t>
        </is>
      </c>
      <c r="O5" s="13" t="inlineStr"/>
      <c r="P5" s="14" t="n">
        <v>4.433478260869565</v>
      </c>
      <c r="Q5" s="14" t="n">
        <v>4.0788</v>
      </c>
      <c r="R5" s="62" t="n">
        <v>0.9067372756693144</v>
      </c>
    </row>
    <row r="6">
      <c r="A6" s="13" t="n">
        <v>1</v>
      </c>
      <c r="B6" s="13" t="n">
        <v>1</v>
      </c>
      <c r="C6" s="13" t="inlineStr">
        <is>
          <t>R&amp;I ENGINE</t>
        </is>
      </c>
      <c r="D6" s="13" t="inlineStr">
        <is>
          <t>01010-E1055</t>
        </is>
      </c>
      <c r="E6" s="13" t="inlineStr">
        <is>
          <t>BOLT</t>
        </is>
      </c>
      <c r="F6" s="34" t="n">
        <v>6</v>
      </c>
      <c r="G6" s="14" t="n">
        <v>4.63</v>
      </c>
      <c r="H6" s="14" t="n">
        <v>27.78</v>
      </c>
      <c r="I6" s="14" t="n">
        <v>3.672299887573513</v>
      </c>
      <c r="J6" s="14" t="n">
        <v>22.03379932544108</v>
      </c>
      <c r="K6" s="14" t="n">
        <v>4.2596</v>
      </c>
      <c r="L6" s="14" t="n">
        <v>25.5576</v>
      </c>
      <c r="M6" s="61" t="n">
        <v>3.523800674558924</v>
      </c>
      <c r="N6" s="54" t="inlineStr">
        <is>
          <t>MATCH</t>
        </is>
      </c>
      <c r="O6" s="13" t="inlineStr"/>
      <c r="P6" s="14" t="n">
        <v>5.11141304347826</v>
      </c>
      <c r="Q6" s="14" t="n">
        <v>4.7025</v>
      </c>
      <c r="R6" s="62" t="n">
        <v>0.9058160552897396</v>
      </c>
    </row>
    <row r="7">
      <c r="A7" s="13" t="n">
        <v>1</v>
      </c>
      <c r="B7" s="13" t="n">
        <v>1</v>
      </c>
      <c r="C7" s="13" t="inlineStr">
        <is>
          <t>R&amp;I ENGINE</t>
        </is>
      </c>
      <c r="D7" s="13" t="inlineStr">
        <is>
          <t>01252-71230</t>
        </is>
      </c>
      <c r="E7" s="13" t="inlineStr">
        <is>
          <t>BOLT</t>
        </is>
      </c>
      <c r="F7" s="34" t="n">
        <v>4</v>
      </c>
      <c r="G7" s="14" t="n">
        <v>6.61</v>
      </c>
      <c r="H7" s="14" t="n">
        <v>26.44</v>
      </c>
      <c r="I7" s="14" t="n">
        <v>5.242743468004519</v>
      </c>
      <c r="J7" s="14" t="n">
        <v>20.97097387201807</v>
      </c>
      <c r="K7" s="14" t="n">
        <v>6.081200000000001</v>
      </c>
      <c r="L7" s="14" t="n">
        <v>24.3248</v>
      </c>
      <c r="M7" s="61" t="n">
        <v>3.353826127981929</v>
      </c>
      <c r="N7" s="54" t="inlineStr">
        <is>
          <t>MATCH</t>
        </is>
      </c>
      <c r="O7" s="13" t="inlineStr"/>
      <c r="P7" s="14" t="n">
        <v>8.113695652173913</v>
      </c>
      <c r="Q7" s="14" t="n">
        <v>7.4646</v>
      </c>
      <c r="R7" s="62" t="n">
        <v>0.814671918120194</v>
      </c>
    </row>
    <row r="8">
      <c r="A8" s="13" t="n">
        <v>1</v>
      </c>
      <c r="B8" s="13" t="n">
        <v>1</v>
      </c>
      <c r="C8" s="13" t="inlineStr">
        <is>
          <t>R&amp;I ENGINE</t>
        </is>
      </c>
      <c r="D8" s="13" t="inlineStr">
        <is>
          <t>01580-01008</t>
        </is>
      </c>
      <c r="E8" s="13" t="inlineStr">
        <is>
          <t>NUT</t>
        </is>
      </c>
      <c r="F8" s="34" t="n">
        <v>8</v>
      </c>
      <c r="G8" s="14" t="n">
        <v>0.86</v>
      </c>
      <c r="H8" s="14" t="n">
        <v>6.88</v>
      </c>
      <c r="I8" s="14" t="n">
        <v>0.6821118581670024</v>
      </c>
      <c r="J8" s="14" t="n">
        <v>5.456894865336019</v>
      </c>
      <c r="K8" s="14" t="n">
        <v>0.7912</v>
      </c>
      <c r="L8" s="14" t="n">
        <v>6.3296</v>
      </c>
      <c r="M8" s="61" t="n">
        <v>0.8727051346639811</v>
      </c>
      <c r="N8" s="54" t="inlineStr">
        <is>
          <t>MATCH</t>
        </is>
      </c>
      <c r="O8" s="13" t="inlineStr"/>
      <c r="P8" s="14" t="n">
        <v>0.9577173913043477</v>
      </c>
      <c r="Q8" s="14" t="n">
        <v>0.8811</v>
      </c>
      <c r="R8" s="62" t="n">
        <v>0.8979684485302464</v>
      </c>
    </row>
    <row r="9">
      <c r="A9" s="13" t="n">
        <v>1</v>
      </c>
      <c r="B9" s="13" t="n">
        <v>1</v>
      </c>
      <c r="C9" s="13" t="inlineStr">
        <is>
          <t>R&amp;I ENGINE</t>
        </is>
      </c>
      <c r="D9" s="13" t="inlineStr">
        <is>
          <t>CPSTKIT010</t>
        </is>
      </c>
      <c r="E9" s="13" t="inlineStr">
        <is>
          <t>PL PUMP 41 CORE</t>
        </is>
      </c>
      <c r="F9" s="34" t="n">
        <v>1</v>
      </c>
      <c r="G9" s="14" t="n">
        <v>690</v>
      </c>
      <c r="H9" s="14" t="n">
        <v>690</v>
      </c>
      <c r="I9" s="14" t="n">
        <v>547.2757931805019</v>
      </c>
      <c r="J9" s="14" t="n">
        <v>547.2757931805019</v>
      </c>
      <c r="K9" s="14" t="n">
        <v>634.8000000000001</v>
      </c>
      <c r="L9" s="14" t="n">
        <v>634.8000000000001</v>
      </c>
      <c r="M9" s="61" t="n">
        <v>87.5242068194982</v>
      </c>
      <c r="N9" s="63" t="inlineStr">
        <is>
          <t>NO MATCH</t>
        </is>
      </c>
      <c r="O9" s="13" t="inlineStr">
        <is>
          <t>Core charge / credit</t>
        </is>
      </c>
      <c r="P9" s="14" t="n"/>
      <c r="Q9" s="14" t="n"/>
      <c r="R9" s="62" t="n"/>
    </row>
    <row r="10">
      <c r="A10" s="13" t="n">
        <v>1</v>
      </c>
      <c r="B10" s="13" t="n">
        <v>1</v>
      </c>
      <c r="C10" s="13" t="inlineStr">
        <is>
          <t>R&amp;I ENGINE</t>
        </is>
      </c>
      <c r="D10" s="13" t="inlineStr">
        <is>
          <t>CR600-813-7543</t>
        </is>
      </c>
      <c r="E10" s="13" t="inlineStr">
        <is>
          <t>CORE</t>
        </is>
      </c>
      <c r="F10" s="34" t="n">
        <v>-2</v>
      </c>
      <c r="G10" s="14" t="n">
        <v>316.01</v>
      </c>
      <c r="H10" s="14" t="n">
        <v>-632.02</v>
      </c>
      <c r="I10" s="14" t="n">
        <v>250.6443817434354</v>
      </c>
      <c r="J10" s="14" t="n">
        <v>-501.2887634868707</v>
      </c>
      <c r="K10" s="14" t="n">
        <v>290.7292</v>
      </c>
      <c r="L10" s="14" t="n">
        <v>-581.4584</v>
      </c>
      <c r="M10" s="61" t="n">
        <v>-80.16963651312926</v>
      </c>
      <c r="N10" s="63" t="inlineStr">
        <is>
          <t>NO MATCH</t>
        </is>
      </c>
      <c r="O10" s="13" t="inlineStr">
        <is>
          <t>Core charge / credit</t>
        </is>
      </c>
      <c r="P10" s="14" t="n"/>
      <c r="Q10" s="14" t="n"/>
      <c r="R10" s="62" t="n"/>
    </row>
    <row r="11">
      <c r="A11" s="13" t="n">
        <v>1</v>
      </c>
      <c r="B11" s="13" t="n">
        <v>1</v>
      </c>
      <c r="C11" s="13" t="inlineStr">
        <is>
          <t>R&amp;I ENGINE</t>
        </is>
      </c>
      <c r="D11" s="13" t="inlineStr">
        <is>
          <t>CR600-813-7543</t>
        </is>
      </c>
      <c r="E11" s="13" t="inlineStr">
        <is>
          <t>CORE</t>
        </is>
      </c>
      <c r="F11" s="34" t="n">
        <v>2</v>
      </c>
      <c r="G11" s="14" t="n">
        <v>316.01</v>
      </c>
      <c r="H11" s="14" t="n">
        <v>632.02</v>
      </c>
      <c r="I11" s="14" t="n">
        <v>250.6443817434354</v>
      </c>
      <c r="J11" s="14" t="n">
        <v>501.2887634868707</v>
      </c>
      <c r="K11" s="14" t="n">
        <v>290.7292</v>
      </c>
      <c r="L11" s="14" t="n">
        <v>581.4584</v>
      </c>
      <c r="M11" s="61" t="n">
        <v>80.16963651312926</v>
      </c>
      <c r="N11" s="63" t="inlineStr">
        <is>
          <t>NO MATCH</t>
        </is>
      </c>
      <c r="O11" s="13" t="inlineStr">
        <is>
          <t>Core charge / credit</t>
        </is>
      </c>
      <c r="P11" s="14" t="n"/>
      <c r="Q11" s="14" t="n"/>
      <c r="R11" s="62" t="n"/>
    </row>
    <row r="12">
      <c r="A12" s="13" t="n">
        <v>1</v>
      </c>
      <c r="B12" s="13" t="n">
        <v>1</v>
      </c>
      <c r="C12" s="13" t="inlineStr">
        <is>
          <t>R&amp;I ENGINE</t>
        </is>
      </c>
      <c r="D12" s="13" t="inlineStr">
        <is>
          <t>CR6219D00180T2</t>
        </is>
      </c>
      <c r="E12" s="13" t="inlineStr">
        <is>
          <t>ENGINE</t>
        </is>
      </c>
      <c r="F12" s="34" t="n">
        <v>-1</v>
      </c>
      <c r="G12" s="14" t="n">
        <v>60000</v>
      </c>
      <c r="H12" s="14" t="n">
        <v>-60000</v>
      </c>
      <c r="I12" s="14" t="n">
        <v>47589.19940700017</v>
      </c>
      <c r="J12" s="14" t="n">
        <v>-47589.19940700017</v>
      </c>
      <c r="K12" s="14" t="n">
        <v>55200</v>
      </c>
      <c r="L12" s="14" t="n">
        <v>-55200</v>
      </c>
      <c r="M12" s="61" t="n">
        <v>-7610.800592999833</v>
      </c>
      <c r="N12" s="63" t="inlineStr">
        <is>
          <t>NO MATCH</t>
        </is>
      </c>
      <c r="O12" s="13" t="inlineStr">
        <is>
          <t>Core charge / credit</t>
        </is>
      </c>
      <c r="P12" s="14" t="n"/>
      <c r="Q12" s="14" t="n"/>
      <c r="R12" s="62" t="n"/>
    </row>
    <row r="13">
      <c r="A13" s="13" t="n">
        <v>1</v>
      </c>
      <c r="B13" s="13" t="n">
        <v>1</v>
      </c>
      <c r="C13" s="13" t="inlineStr">
        <is>
          <t>R&amp;I ENGINE</t>
        </is>
      </c>
      <c r="D13" s="13" t="inlineStr">
        <is>
          <t>CR6219D00180T2</t>
        </is>
      </c>
      <c r="E13" s="13" t="inlineStr">
        <is>
          <t>ENGINE</t>
        </is>
      </c>
      <c r="F13" s="34" t="n">
        <v>1</v>
      </c>
      <c r="G13" s="14" t="n">
        <v>60000</v>
      </c>
      <c r="H13" s="14" t="n">
        <v>60000</v>
      </c>
      <c r="I13" s="14" t="n">
        <v>47589.19940700017</v>
      </c>
      <c r="J13" s="14" t="n">
        <v>47589.19940700017</v>
      </c>
      <c r="K13" s="14" t="n">
        <v>55200</v>
      </c>
      <c r="L13" s="14" t="n">
        <v>55200</v>
      </c>
      <c r="M13" s="61" t="n">
        <v>7610.800592999833</v>
      </c>
      <c r="N13" s="63" t="inlineStr">
        <is>
          <t>NO MATCH</t>
        </is>
      </c>
      <c r="O13" s="13" t="inlineStr">
        <is>
          <t>Core charge / credit</t>
        </is>
      </c>
      <c r="P13" s="14" t="n"/>
      <c r="Q13" s="14" t="n"/>
      <c r="R13" s="62" t="n"/>
    </row>
    <row r="14">
      <c r="A14" s="13" t="n">
        <v>1</v>
      </c>
      <c r="B14" s="13" t="n">
        <v>1</v>
      </c>
      <c r="C14" s="13" t="inlineStr">
        <is>
          <t>R&amp;I ENGINE</t>
        </is>
      </c>
      <c r="D14" s="13" t="inlineStr">
        <is>
          <t>CRKD90A03</t>
        </is>
      </c>
      <c r="E14" s="13" t="inlineStr">
        <is>
          <t>ALTERNATOR</t>
        </is>
      </c>
      <c r="F14" s="34" t="n">
        <v>-1</v>
      </c>
      <c r="G14" s="14" t="n">
        <v>500</v>
      </c>
      <c r="H14" s="14" t="n">
        <v>-500</v>
      </c>
      <c r="I14" s="14" t="n">
        <v>396.5766617250014</v>
      </c>
      <c r="J14" s="14" t="n">
        <v>-396.5766617250014</v>
      </c>
      <c r="K14" s="14" t="n">
        <v>460</v>
      </c>
      <c r="L14" s="14" t="n">
        <v>-460</v>
      </c>
      <c r="M14" s="61" t="n">
        <v>-63.42333827499863</v>
      </c>
      <c r="N14" s="63" t="inlineStr">
        <is>
          <t>NO MATCH</t>
        </is>
      </c>
      <c r="O14" s="13" t="inlineStr">
        <is>
          <t>Core charge / credit</t>
        </is>
      </c>
      <c r="P14" s="14" t="n"/>
      <c r="Q14" s="14" t="n"/>
      <c r="R14" s="62" t="n"/>
    </row>
    <row r="15">
      <c r="A15" s="13" t="n">
        <v>1</v>
      </c>
      <c r="B15" s="13" t="n">
        <v>1</v>
      </c>
      <c r="C15" s="13" t="inlineStr">
        <is>
          <t>R&amp;I ENGINE</t>
        </is>
      </c>
      <c r="D15" s="13" t="inlineStr">
        <is>
          <t>FI</t>
        </is>
      </c>
      <c r="E15" s="13" t="inlineStr">
        <is>
          <t>FREIGHT IN</t>
        </is>
      </c>
      <c r="F15" s="34" t="n">
        <v>5</v>
      </c>
      <c r="G15" s="14" t="n">
        <v>20.82</v>
      </c>
      <c r="H15" s="14" t="n">
        <v>104.1</v>
      </c>
      <c r="I15" s="14" t="n">
        <v>16.51345219422906</v>
      </c>
      <c r="J15" s="14" t="n">
        <v>82.56726097114529</v>
      </c>
      <c r="K15" s="14" t="n">
        <v>19.1544</v>
      </c>
      <c r="L15" s="14" t="n">
        <v>95.77200000000001</v>
      </c>
      <c r="M15" s="61" t="n">
        <v>13.20473902885472</v>
      </c>
      <c r="N15" s="63" t="inlineStr">
        <is>
          <t>NO MATCH</t>
        </is>
      </c>
      <c r="O15" s="13" t="inlineStr">
        <is>
          <t>Freight-in</t>
        </is>
      </c>
      <c r="P15" s="14" t="n"/>
      <c r="Q15" s="14" t="n"/>
      <c r="R15" s="62" t="n"/>
    </row>
    <row r="16">
      <c r="A16" s="13" t="n">
        <v>1</v>
      </c>
      <c r="B16" s="13" t="n">
        <v>1</v>
      </c>
      <c r="C16" s="13" t="inlineStr">
        <is>
          <t>R&amp;I ENGINE</t>
        </is>
      </c>
      <c r="D16" s="13" t="inlineStr">
        <is>
          <t>PSTKIT010</t>
        </is>
      </c>
      <c r="E16" s="13" t="inlineStr">
        <is>
          <t>PL PUMP 41</t>
        </is>
      </c>
      <c r="F16" s="34" t="n">
        <v>1</v>
      </c>
      <c r="G16" s="14" t="n">
        <v>1231.62</v>
      </c>
      <c r="H16" s="14" t="n">
        <v>1231.62</v>
      </c>
      <c r="I16" s="14" t="n">
        <v>976.8634962274923</v>
      </c>
      <c r="J16" s="14" t="n">
        <v>976.8634962274923</v>
      </c>
      <c r="K16" s="14" t="n">
        <v>1133.0904</v>
      </c>
      <c r="L16" s="14" t="n">
        <v>1133.0904</v>
      </c>
      <c r="M16" s="61" t="n">
        <v>156.2269037725077</v>
      </c>
      <c r="N16" s="54" t="inlineStr">
        <is>
          <t>MATCH</t>
        </is>
      </c>
      <c r="O16" s="13" t="inlineStr"/>
      <c r="P16" s="14" t="n">
        <v>3013.011195652174</v>
      </c>
      <c r="Q16" s="14" t="n">
        <v>2771.9703</v>
      </c>
      <c r="R16" s="62" t="n">
        <v>0.4087671502108085</v>
      </c>
    </row>
    <row r="17">
      <c r="A17" s="13" t="n">
        <v>1</v>
      </c>
      <c r="B17" s="13" t="n">
        <v>1</v>
      </c>
      <c r="C17" s="13" t="inlineStr">
        <is>
          <t>R&amp;I ENGINE</t>
        </is>
      </c>
      <c r="D17" s="13" t="inlineStr">
        <is>
          <t>R600-813-7543</t>
        </is>
      </c>
      <c r="E17" s="13" t="inlineStr">
        <is>
          <t>STARTER</t>
        </is>
      </c>
      <c r="F17" s="34" t="n">
        <v>2</v>
      </c>
      <c r="G17" s="14" t="n">
        <v>1460.79</v>
      </c>
      <c r="H17" s="14" t="n">
        <v>2921.58</v>
      </c>
      <c r="I17" s="14" t="n">
        <v>1158.63044336253</v>
      </c>
      <c r="J17" s="14" t="n">
        <v>2317.260886725059</v>
      </c>
      <c r="K17" s="14" t="n">
        <v>1343.9268</v>
      </c>
      <c r="L17" s="14" t="n">
        <v>2687.8536</v>
      </c>
      <c r="M17" s="61" t="n">
        <v>370.5927132749407</v>
      </c>
      <c r="N17" s="54" t="inlineStr">
        <is>
          <t>MATCH</t>
        </is>
      </c>
      <c r="O17" s="13" t="inlineStr"/>
      <c r="P17" s="14" t="n">
        <v>2211.003586956522</v>
      </c>
      <c r="Q17" s="14" t="n">
        <v>2034.1233</v>
      </c>
      <c r="R17" s="62" t="n">
        <v>0.6606909227184016</v>
      </c>
    </row>
    <row r="18">
      <c r="A18" s="13" t="n">
        <v>1</v>
      </c>
      <c r="B18" s="13" t="n">
        <v>1</v>
      </c>
      <c r="C18" s="13" t="inlineStr">
        <is>
          <t>R&amp;I ENGINE</t>
        </is>
      </c>
      <c r="D18" s="13" t="inlineStr">
        <is>
          <t>R6219D00180T2</t>
        </is>
      </c>
      <c r="E18" s="13" t="inlineStr">
        <is>
          <t>ENGINE</t>
        </is>
      </c>
      <c r="F18" s="34" t="n">
        <v>1</v>
      </c>
      <c r="G18" s="14" t="n">
        <v>143465.98</v>
      </c>
      <c r="H18" s="14" t="n">
        <v>143465.98</v>
      </c>
      <c r="I18" s="14" t="n">
        <v>113790.5188390116</v>
      </c>
      <c r="J18" s="14" t="n">
        <v>113790.5188390116</v>
      </c>
      <c r="K18" s="14" t="n">
        <v>131988.7016</v>
      </c>
      <c r="L18" s="14" t="n">
        <v>131988.7016</v>
      </c>
      <c r="M18" s="61" t="n">
        <v>18198.18276098839</v>
      </c>
      <c r="N18" s="54" t="inlineStr">
        <is>
          <t>MATCH</t>
        </is>
      </c>
      <c r="O18" s="13" t="inlineStr"/>
      <c r="P18" s="14" t="n">
        <v>237416.2473913043</v>
      </c>
      <c r="Q18" s="14" t="n">
        <v>218422.9476</v>
      </c>
      <c r="R18" s="62" t="n">
        <v>0.6042803791921725</v>
      </c>
    </row>
    <row r="19">
      <c r="A19" s="13" t="n">
        <v>1</v>
      </c>
      <c r="B19" s="13" t="n">
        <v>1</v>
      </c>
      <c r="C19" s="13" t="inlineStr">
        <is>
          <t>R&amp;I ENGINE</t>
        </is>
      </c>
      <c r="D19" s="13" t="inlineStr">
        <is>
          <t>SR3523</t>
        </is>
      </c>
      <c r="E19" s="13" t="inlineStr">
        <is>
          <t>ELBOW F</t>
        </is>
      </c>
      <c r="F19" s="34" t="n">
        <v>2</v>
      </c>
      <c r="G19" s="14" t="n">
        <v>105.87</v>
      </c>
      <c r="H19" s="14" t="n">
        <v>211.74</v>
      </c>
      <c r="I19" s="14" t="n">
        <v>83.9711423536518</v>
      </c>
      <c r="J19" s="14" t="n">
        <v>167.9422847073036</v>
      </c>
      <c r="K19" s="14" t="n">
        <v>97.4004</v>
      </c>
      <c r="L19" s="14" t="n">
        <v>194.8008</v>
      </c>
      <c r="M19" s="61" t="n">
        <v>26.85851529269641</v>
      </c>
      <c r="N19" s="54" t="inlineStr">
        <is>
          <t>MATCH</t>
        </is>
      </c>
      <c r="O19" s="13" t="inlineStr"/>
      <c r="P19" s="14" t="n">
        <v>123.2119565217391</v>
      </c>
      <c r="Q19" s="14" t="n">
        <v>113.355</v>
      </c>
      <c r="R19" s="62" t="n">
        <v>0.8592510255392353</v>
      </c>
    </row>
    <row r="20">
      <c r="A20" s="13" t="n">
        <v>1</v>
      </c>
      <c r="B20" s="13" t="n">
        <v>1</v>
      </c>
      <c r="C20" s="13" t="inlineStr">
        <is>
          <t>R&amp;I ENGINE</t>
        </is>
      </c>
      <c r="D20" s="13" t="inlineStr">
        <is>
          <t>SUBLETP</t>
        </is>
      </c>
      <c r="E20" s="13" t="inlineStr">
        <is>
          <t>HOSE</t>
        </is>
      </c>
      <c r="F20" s="34" t="n">
        <v>1</v>
      </c>
      <c r="G20" s="14" t="n">
        <v>702.84</v>
      </c>
      <c r="H20" s="14" t="n">
        <v>702.84</v>
      </c>
      <c r="I20" s="14" t="n">
        <v>557.4598818536</v>
      </c>
      <c r="J20" s="14" t="n">
        <v>557.4598818536</v>
      </c>
      <c r="K20" s="14" t="n">
        <v>646.6128000000001</v>
      </c>
      <c r="L20" s="14" t="n">
        <v>646.6128000000001</v>
      </c>
      <c r="M20" s="14" t="n"/>
      <c r="N20" s="63" t="inlineStr">
        <is>
          <t>NO MATCH</t>
        </is>
      </c>
      <c r="O20" s="13" t="inlineStr">
        <is>
          <t>Sublet / outside service</t>
        </is>
      </c>
      <c r="P20" s="14" t="n"/>
      <c r="Q20" s="14" t="n"/>
      <c r="R20" s="62" t="n"/>
    </row>
    <row r="21">
      <c r="A21" s="13" t="n">
        <v>2</v>
      </c>
      <c r="B21" s="13" t="n">
        <v>1</v>
      </c>
      <c r="C21" s="13" t="inlineStr">
        <is>
          <t>R&amp;I ENGINE</t>
        </is>
      </c>
      <c r="D21" s="13" t="inlineStr">
        <is>
          <t>02896-11012</t>
        </is>
      </c>
      <c r="E21" s="13" t="inlineStr">
        <is>
          <t>O-RING</t>
        </is>
      </c>
      <c r="F21" s="34" t="n">
        <v>2</v>
      </c>
      <c r="G21" s="14" t="n">
        <v>1.48</v>
      </c>
      <c r="H21" s="14" t="n">
        <v>2.96</v>
      </c>
      <c r="I21" s="14" t="n">
        <v>1.173866918706004</v>
      </c>
      <c r="J21" s="14" t="n">
        <v>2.347733837412008</v>
      </c>
      <c r="K21" s="14" t="n">
        <v>1.3616</v>
      </c>
      <c r="L21" s="14" t="n">
        <v>2.7232</v>
      </c>
      <c r="M21" s="61" t="n">
        <v>0.3754661625879923</v>
      </c>
      <c r="N21" s="54" t="inlineStr">
        <is>
          <t>MATCH</t>
        </is>
      </c>
      <c r="O21" s="13" t="inlineStr"/>
      <c r="P21" s="14" t="n">
        <v>1.764782608695652</v>
      </c>
      <c r="Q21" s="14" t="n">
        <v>1.6236</v>
      </c>
      <c r="R21" s="62" t="n">
        <v>0.8386302044838632</v>
      </c>
    </row>
    <row r="22">
      <c r="A22" s="13" t="n">
        <v>2</v>
      </c>
      <c r="B22" s="13" t="n">
        <v>1</v>
      </c>
      <c r="C22" s="13" t="inlineStr">
        <is>
          <t>R&amp;I ENGINE</t>
        </is>
      </c>
      <c r="D22" s="13" t="inlineStr">
        <is>
          <t>02896-21009</t>
        </is>
      </c>
      <c r="E22" s="13" t="inlineStr">
        <is>
          <t>O-RING P60</t>
        </is>
      </c>
      <c r="F22" s="34" t="n">
        <v>7</v>
      </c>
      <c r="G22" s="14" t="n">
        <v>6.26</v>
      </c>
      <c r="H22" s="14" t="n">
        <v>43.82</v>
      </c>
      <c r="I22" s="14" t="n">
        <v>4.965139804797017</v>
      </c>
      <c r="J22" s="14" t="n">
        <v>34.75597863357912</v>
      </c>
      <c r="K22" s="14" t="n">
        <v>5.7592</v>
      </c>
      <c r="L22" s="14" t="n">
        <v>40.3144</v>
      </c>
      <c r="M22" s="61" t="n">
        <v>5.55842136642088</v>
      </c>
      <c r="N22" s="54" t="inlineStr">
        <is>
          <t>MATCH</t>
        </is>
      </c>
      <c r="O22" s="13" t="inlineStr"/>
      <c r="P22" s="14" t="n">
        <v>7.392717391304348</v>
      </c>
      <c r="Q22" s="14" t="n">
        <v>6.8013</v>
      </c>
      <c r="R22" s="62" t="n">
        <v>0.8467792921941393</v>
      </c>
    </row>
    <row r="23">
      <c r="A23" s="13" t="n">
        <v>2</v>
      </c>
      <c r="B23" s="13" t="n">
        <v>1</v>
      </c>
      <c r="C23" s="13" t="inlineStr">
        <is>
          <t>R&amp;I ENGINE</t>
        </is>
      </c>
      <c r="D23" s="13" t="inlineStr">
        <is>
          <t>02896-21018</t>
        </is>
      </c>
      <c r="E23" s="13" t="inlineStr">
        <is>
          <t>O-RING P60</t>
        </is>
      </c>
      <c r="F23" s="34" t="n">
        <v>2</v>
      </c>
      <c r="G23" s="14" t="n">
        <v>6.26</v>
      </c>
      <c r="H23" s="14" t="n">
        <v>12.52</v>
      </c>
      <c r="I23" s="14" t="n">
        <v>4.965139804797017</v>
      </c>
      <c r="J23" s="14" t="n">
        <v>9.930279609594034</v>
      </c>
      <c r="K23" s="14" t="n">
        <v>5.7592</v>
      </c>
      <c r="L23" s="14" t="n">
        <v>11.5184</v>
      </c>
      <c r="M23" s="61" t="n">
        <v>1.588120390405965</v>
      </c>
      <c r="N23" s="54" t="inlineStr">
        <is>
          <t>MATCH</t>
        </is>
      </c>
      <c r="O23" s="13" t="inlineStr"/>
      <c r="P23" s="14" t="n">
        <v>7.392717391304348</v>
      </c>
      <c r="Q23" s="14" t="n">
        <v>6.8013</v>
      </c>
      <c r="R23" s="62" t="n">
        <v>0.8467792921941393</v>
      </c>
    </row>
    <row r="24">
      <c r="A24" s="13" t="n">
        <v>2</v>
      </c>
      <c r="B24" s="13" t="n">
        <v>1</v>
      </c>
      <c r="C24" s="13" t="inlineStr">
        <is>
          <t>R&amp;I ENGINE</t>
        </is>
      </c>
      <c r="D24" s="13" t="inlineStr">
        <is>
          <t>04120-21951</t>
        </is>
      </c>
      <c r="E24" s="13" t="inlineStr">
        <is>
          <t>V-BELT</t>
        </is>
      </c>
      <c r="F24" s="34" t="n">
        <v>1</v>
      </c>
      <c r="G24" s="14" t="n">
        <v>50.36</v>
      </c>
      <c r="H24" s="14" t="n">
        <v>50.36</v>
      </c>
      <c r="I24" s="14" t="n">
        <v>39.94320136894214</v>
      </c>
      <c r="J24" s="14" t="n">
        <v>39.94320136894214</v>
      </c>
      <c r="K24" s="14" t="n">
        <v>46.3312</v>
      </c>
      <c r="L24" s="14" t="n">
        <v>46.3312</v>
      </c>
      <c r="M24" s="61" t="n">
        <v>6.387998631057862</v>
      </c>
      <c r="N24" s="54" t="inlineStr">
        <is>
          <t>MATCH</t>
        </is>
      </c>
      <c r="O24" s="13" t="inlineStr"/>
      <c r="P24" s="14" t="n">
        <v>60.07793478260869</v>
      </c>
      <c r="Q24" s="14" t="n">
        <v>55.2717</v>
      </c>
      <c r="R24" s="62" t="n">
        <v>0.8382445265841291</v>
      </c>
    </row>
    <row r="25">
      <c r="A25" s="13" t="n">
        <v>2</v>
      </c>
      <c r="B25" s="13" t="n">
        <v>1</v>
      </c>
      <c r="C25" s="13" t="inlineStr">
        <is>
          <t>R&amp;I ENGINE</t>
        </is>
      </c>
      <c r="D25" s="13" t="inlineStr">
        <is>
          <t>04121-21748</t>
        </is>
      </c>
      <c r="E25" s="13" t="inlineStr">
        <is>
          <t>V-BELT</t>
        </is>
      </c>
      <c r="F25" s="34" t="n">
        <v>1</v>
      </c>
      <c r="G25" s="14" t="n">
        <v>56.24</v>
      </c>
      <c r="H25" s="14" t="n">
        <v>56.24</v>
      </c>
      <c r="I25" s="14" t="n">
        <v>44.60694291082816</v>
      </c>
      <c r="J25" s="14" t="n">
        <v>44.60694291082816</v>
      </c>
      <c r="K25" s="14" t="n">
        <v>51.74080000000001</v>
      </c>
      <c r="L25" s="14" t="n">
        <v>51.74080000000001</v>
      </c>
      <c r="M25" s="61" t="n">
        <v>7.133857089171848</v>
      </c>
      <c r="N25" s="54" t="inlineStr">
        <is>
          <t>MATCH</t>
        </is>
      </c>
      <c r="O25" s="13" t="inlineStr"/>
      <c r="P25" s="14" t="n">
        <v>62.02565217391304</v>
      </c>
      <c r="Q25" s="14" t="n">
        <v>57.0636</v>
      </c>
      <c r="R25" s="62" t="n">
        <v>0.9067216228909497</v>
      </c>
    </row>
    <row r="26">
      <c r="A26" s="13" t="n">
        <v>2</v>
      </c>
      <c r="B26" s="13" t="n">
        <v>1</v>
      </c>
      <c r="C26" s="13" t="inlineStr">
        <is>
          <t>R&amp;I ENGINE</t>
        </is>
      </c>
      <c r="D26" s="13" t="inlineStr">
        <is>
          <t>07000-13022</t>
        </is>
      </c>
      <c r="E26" s="13" t="inlineStr">
        <is>
          <t>O-RING</t>
        </is>
      </c>
      <c r="F26" s="34" t="n">
        <v>10</v>
      </c>
      <c r="G26" s="14" t="n">
        <v>2.15</v>
      </c>
      <c r="H26" s="14" t="n">
        <v>21.5</v>
      </c>
      <c r="I26" s="14" t="n">
        <v>1.705279645417506</v>
      </c>
      <c r="J26" s="14" t="n">
        <v>17.05279645417506</v>
      </c>
      <c r="K26" s="14" t="n">
        <v>1.978</v>
      </c>
      <c r="L26" s="14" t="n">
        <v>19.78</v>
      </c>
      <c r="M26" s="61" t="n">
        <v>2.727203545824942</v>
      </c>
      <c r="N26" s="54" t="inlineStr">
        <is>
          <t>MATCH</t>
        </is>
      </c>
      <c r="O26" s="13" t="inlineStr"/>
      <c r="P26" s="14" t="n">
        <v>2.636413043478261</v>
      </c>
      <c r="Q26" s="14" t="n">
        <v>2.4255</v>
      </c>
      <c r="R26" s="62" t="n">
        <v>0.8155019583591012</v>
      </c>
    </row>
    <row r="27">
      <c r="A27" s="13" t="n">
        <v>2</v>
      </c>
      <c r="B27" s="13" t="n">
        <v>1</v>
      </c>
      <c r="C27" s="13" t="inlineStr">
        <is>
          <t>R&amp;I ENGINE</t>
        </is>
      </c>
      <c r="D27" s="13" t="inlineStr">
        <is>
          <t>07000-13035</t>
        </is>
      </c>
      <c r="E27" s="13" t="inlineStr">
        <is>
          <t>O-RING</t>
        </is>
      </c>
      <c r="F27" s="34" t="n">
        <v>10</v>
      </c>
      <c r="G27" s="14" t="n">
        <v>2.85</v>
      </c>
      <c r="H27" s="14" t="n">
        <v>28.5</v>
      </c>
      <c r="I27" s="14" t="n">
        <v>2.260486971832508</v>
      </c>
      <c r="J27" s="14" t="n">
        <v>22.60486971832508</v>
      </c>
      <c r="K27" s="14" t="n">
        <v>2.622</v>
      </c>
      <c r="L27" s="14" t="n">
        <v>26.22</v>
      </c>
      <c r="M27" s="61" t="n">
        <v>3.615130281674922</v>
      </c>
      <c r="N27" s="54" t="inlineStr">
        <is>
          <t>MATCH</t>
        </is>
      </c>
      <c r="O27" s="13" t="inlineStr"/>
      <c r="P27" s="14" t="n">
        <v>3.497282608695652</v>
      </c>
      <c r="Q27" s="14" t="n">
        <v>3.2175</v>
      </c>
      <c r="R27" s="62" t="n">
        <v>0.814918414918415</v>
      </c>
    </row>
    <row r="28">
      <c r="A28" s="13" t="n">
        <v>2</v>
      </c>
      <c r="B28" s="13" t="n">
        <v>1</v>
      </c>
      <c r="C28" s="13" t="inlineStr">
        <is>
          <t>R&amp;I ENGINE</t>
        </is>
      </c>
      <c r="D28" s="13" t="inlineStr">
        <is>
          <t>07260-04736</t>
        </is>
      </c>
      <c r="E28" s="13" t="inlineStr">
        <is>
          <t>HOSE</t>
        </is>
      </c>
      <c r="F28" s="34" t="n">
        <v>2</v>
      </c>
      <c r="G28" s="14" t="n">
        <v>156.12</v>
      </c>
      <c r="H28" s="14" t="n">
        <v>312.24</v>
      </c>
      <c r="I28" s="14" t="n">
        <v>123.8270968570144</v>
      </c>
      <c r="J28" s="14" t="n">
        <v>247.6541937140289</v>
      </c>
      <c r="K28" s="14" t="n">
        <v>143.6304</v>
      </c>
      <c r="L28" s="14" t="n">
        <v>287.2608</v>
      </c>
      <c r="M28" s="61" t="n">
        <v>39.60660628597114</v>
      </c>
      <c r="N28" s="54" t="inlineStr">
        <is>
          <t>MATCH</t>
        </is>
      </c>
      <c r="O28" s="13" t="inlineStr"/>
      <c r="P28" s="14" t="n">
        <v>172.1954347826087</v>
      </c>
      <c r="Q28" s="14" t="n">
        <v>158.4198</v>
      </c>
      <c r="R28" s="62" t="n">
        <v>0.9066442452269224</v>
      </c>
    </row>
    <row r="29">
      <c r="A29" s="13" t="n">
        <v>2</v>
      </c>
      <c r="B29" s="13" t="n">
        <v>1</v>
      </c>
      <c r="C29" s="13" t="inlineStr">
        <is>
          <t>R&amp;I ENGINE</t>
        </is>
      </c>
      <c r="D29" s="13" t="inlineStr">
        <is>
          <t>07260-22650</t>
        </is>
      </c>
      <c r="E29" s="13" t="inlineStr">
        <is>
          <t>HOSE</t>
        </is>
      </c>
      <c r="F29" s="34" t="n">
        <v>1</v>
      </c>
      <c r="G29" s="14" t="n">
        <v>45.71</v>
      </c>
      <c r="H29" s="14" t="n">
        <v>45.71</v>
      </c>
      <c r="I29" s="14" t="n">
        <v>36.25503841489963</v>
      </c>
      <c r="J29" s="14" t="n">
        <v>36.25503841489963</v>
      </c>
      <c r="K29" s="14" t="n">
        <v>42.0532</v>
      </c>
      <c r="L29" s="14" t="n">
        <v>42.0532</v>
      </c>
      <c r="M29" s="61" t="n">
        <v>5.798161585100374</v>
      </c>
      <c r="N29" s="54" t="inlineStr">
        <is>
          <t>MATCH</t>
        </is>
      </c>
      <c r="O29" s="13" t="inlineStr"/>
      <c r="P29" s="14" t="n">
        <v>56.02108695652174</v>
      </c>
      <c r="Q29" s="14" t="n">
        <v>51.5394</v>
      </c>
      <c r="R29" s="62" t="n">
        <v>0.8159427544752171</v>
      </c>
    </row>
    <row r="30">
      <c r="A30" s="13" t="n">
        <v>2</v>
      </c>
      <c r="B30" s="13" t="n">
        <v>1</v>
      </c>
      <c r="C30" s="13" t="inlineStr">
        <is>
          <t>R&amp;I ENGINE</t>
        </is>
      </c>
      <c r="D30" s="13" t="inlineStr">
        <is>
          <t>07260-24118</t>
        </is>
      </c>
      <c r="E30" s="13" t="inlineStr">
        <is>
          <t>HOSE</t>
        </is>
      </c>
      <c r="F30" s="34" t="n">
        <v>1</v>
      </c>
      <c r="G30" s="14" t="n">
        <v>29.06</v>
      </c>
      <c r="H30" s="14" t="n">
        <v>29.06</v>
      </c>
      <c r="I30" s="14" t="n">
        <v>23.04903557945708</v>
      </c>
      <c r="J30" s="14" t="n">
        <v>23.04903557945708</v>
      </c>
      <c r="K30" s="14" t="n">
        <v>26.7352</v>
      </c>
      <c r="L30" s="14" t="n">
        <v>26.7352</v>
      </c>
      <c r="M30" s="61" t="n">
        <v>3.686164420542919</v>
      </c>
      <c r="N30" s="54" t="inlineStr">
        <is>
          <t>MATCH</t>
        </is>
      </c>
      <c r="O30" s="13" t="inlineStr"/>
      <c r="P30" s="14" t="n">
        <v>35.60771739130435</v>
      </c>
      <c r="Q30" s="14" t="n">
        <v>32.7591</v>
      </c>
      <c r="R30" s="62" t="n">
        <v>0.8161152168405115</v>
      </c>
    </row>
    <row r="31">
      <c r="A31" s="13" t="n">
        <v>2</v>
      </c>
      <c r="B31" s="13" t="n">
        <v>1</v>
      </c>
      <c r="C31" s="13" t="inlineStr">
        <is>
          <t>R&amp;I ENGINE</t>
        </is>
      </c>
      <c r="D31" s="13" t="inlineStr">
        <is>
          <t>07260-24713</t>
        </is>
      </c>
      <c r="E31" s="13" t="inlineStr">
        <is>
          <t>HOSE</t>
        </is>
      </c>
      <c r="F31" s="34" t="n">
        <v>2</v>
      </c>
      <c r="G31" s="14" t="n">
        <v>52.49</v>
      </c>
      <c r="H31" s="14" t="n">
        <v>104.98</v>
      </c>
      <c r="I31" s="14" t="n">
        <v>41.63261794789064</v>
      </c>
      <c r="J31" s="14" t="n">
        <v>83.26523589578129</v>
      </c>
      <c r="K31" s="14" t="n">
        <v>48.2908</v>
      </c>
      <c r="L31" s="14" t="n">
        <v>96.58160000000001</v>
      </c>
      <c r="M31" s="61" t="n">
        <v>13.31636410421872</v>
      </c>
      <c r="N31" s="54" t="inlineStr">
        <is>
          <t>MATCH</t>
        </is>
      </c>
      <c r="O31" s="13" t="inlineStr"/>
      <c r="P31" s="14" t="n">
        <v>57.89347826086956</v>
      </c>
      <c r="Q31" s="14" t="n">
        <v>53.26199999999999</v>
      </c>
      <c r="R31" s="62" t="n">
        <v>0.9066651646577298</v>
      </c>
    </row>
    <row r="32">
      <c r="A32" s="13" t="n">
        <v>2</v>
      </c>
      <c r="B32" s="13" t="n">
        <v>1</v>
      </c>
      <c r="C32" s="13" t="inlineStr">
        <is>
          <t>R&amp;I ENGINE</t>
        </is>
      </c>
      <c r="D32" s="13" t="inlineStr">
        <is>
          <t>07289-00035</t>
        </is>
      </c>
      <c r="E32" s="13" t="inlineStr">
        <is>
          <t>CLAMP</t>
        </is>
      </c>
      <c r="F32" s="34" t="n">
        <v>4</v>
      </c>
      <c r="G32" s="14" t="n">
        <v>7.01</v>
      </c>
      <c r="H32" s="14" t="n">
        <v>28.04</v>
      </c>
      <c r="I32" s="14" t="n">
        <v>5.560004797384519</v>
      </c>
      <c r="J32" s="14" t="n">
        <v>22.24001918953808</v>
      </c>
      <c r="K32" s="14" t="n">
        <v>6.4492</v>
      </c>
      <c r="L32" s="14" t="n">
        <v>25.7968</v>
      </c>
      <c r="M32" s="61" t="n">
        <v>3.556780810461923</v>
      </c>
      <c r="N32" s="54" t="inlineStr">
        <is>
          <t>MATCH</t>
        </is>
      </c>
      <c r="O32" s="13" t="inlineStr"/>
      <c r="P32" s="14" t="n">
        <v>8.587173913043479</v>
      </c>
      <c r="Q32" s="14" t="n">
        <v>7.900200000000001</v>
      </c>
      <c r="R32" s="62" t="n">
        <v>0.8163337637021847</v>
      </c>
    </row>
    <row r="33">
      <c r="A33" s="13" t="n">
        <v>2</v>
      </c>
      <c r="B33" s="13" t="n">
        <v>1</v>
      </c>
      <c r="C33" s="13" t="inlineStr">
        <is>
          <t>R&amp;I ENGINE</t>
        </is>
      </c>
      <c r="D33" s="13" t="inlineStr">
        <is>
          <t>07289-00055</t>
        </is>
      </c>
      <c r="E33" s="13" t="inlineStr">
        <is>
          <t>CLAMP</t>
        </is>
      </c>
      <c r="F33" s="34" t="n">
        <v>12</v>
      </c>
      <c r="G33" s="14" t="n">
        <v>13.97</v>
      </c>
      <c r="H33" s="14" t="n">
        <v>167.6</v>
      </c>
      <c r="I33" s="14" t="n">
        <v>11.08035192859654</v>
      </c>
      <c r="J33" s="14" t="n">
        <v>132.9324970102205</v>
      </c>
      <c r="K33" s="14" t="n">
        <v>12.8524</v>
      </c>
      <c r="L33" s="14" t="n">
        <v>154.192</v>
      </c>
      <c r="M33" s="61" t="n">
        <v>21.25950298977955</v>
      </c>
      <c r="N33" s="54" t="inlineStr">
        <is>
          <t>MATCH</t>
        </is>
      </c>
      <c r="O33" s="13" t="inlineStr"/>
      <c r="P33" s="14" t="n">
        <v>15.93684782608696</v>
      </c>
      <c r="Q33" s="14" t="n">
        <v>14.6619</v>
      </c>
      <c r="R33" s="62" t="n">
        <v>0.876584890089279</v>
      </c>
    </row>
    <row r="34">
      <c r="A34" s="13" t="n">
        <v>2</v>
      </c>
      <c r="B34" s="13" t="n">
        <v>1</v>
      </c>
      <c r="C34" s="13" t="inlineStr">
        <is>
          <t>R&amp;I ENGINE</t>
        </is>
      </c>
      <c r="D34" s="13" t="inlineStr">
        <is>
          <t>07289-00070</t>
        </is>
      </c>
      <c r="E34" s="13" t="inlineStr">
        <is>
          <t>CLAMP</t>
        </is>
      </c>
      <c r="F34" s="34" t="n">
        <v>4</v>
      </c>
      <c r="G34" s="14" t="n">
        <v>4.96</v>
      </c>
      <c r="H34" s="14" t="n">
        <v>19.84</v>
      </c>
      <c r="I34" s="14" t="n">
        <v>3.934040484312014</v>
      </c>
      <c r="J34" s="14" t="n">
        <v>15.73616193724805</v>
      </c>
      <c r="K34" s="14" t="n">
        <v>4.5632</v>
      </c>
      <c r="L34" s="14" t="n">
        <v>18.2528</v>
      </c>
      <c r="M34" s="61" t="n">
        <v>2.516638062751946</v>
      </c>
      <c r="N34" s="54" t="inlineStr">
        <is>
          <t>MATCH</t>
        </is>
      </c>
      <c r="O34" s="13" t="inlineStr"/>
      <c r="P34" s="14" t="n">
        <v>5.466521739130435</v>
      </c>
      <c r="Q34" s="14" t="n">
        <v>5.0292</v>
      </c>
      <c r="R34" s="62" t="n">
        <v>0.9073411278135687</v>
      </c>
    </row>
    <row r="35">
      <c r="A35" s="13" t="n">
        <v>2</v>
      </c>
      <c r="B35" s="13" t="n">
        <v>1</v>
      </c>
      <c r="C35" s="13" t="inlineStr">
        <is>
          <t>R&amp;I ENGINE</t>
        </is>
      </c>
      <c r="D35" s="13" t="inlineStr">
        <is>
          <t>07289-00160</t>
        </is>
      </c>
      <c r="E35" s="13" t="inlineStr">
        <is>
          <t>CLAMP</t>
        </is>
      </c>
      <c r="F35" s="34" t="n">
        <v>2</v>
      </c>
      <c r="G35" s="14" t="n">
        <v>30.73</v>
      </c>
      <c r="H35" s="14" t="n">
        <v>61.46</v>
      </c>
      <c r="I35" s="14" t="n">
        <v>24.37360162961859</v>
      </c>
      <c r="J35" s="14" t="n">
        <v>48.74720325923717</v>
      </c>
      <c r="K35" s="14" t="n">
        <v>28.2716</v>
      </c>
      <c r="L35" s="14" t="n">
        <v>56.54320000000001</v>
      </c>
      <c r="M35" s="61" t="n">
        <v>7.795996740762831</v>
      </c>
      <c r="N35" s="54" t="inlineStr">
        <is>
          <t>MATCH</t>
        </is>
      </c>
      <c r="O35" s="13" t="inlineStr"/>
      <c r="P35" s="14" t="n">
        <v>33.89673913043478</v>
      </c>
      <c r="Q35" s="14" t="n">
        <v>31.185</v>
      </c>
      <c r="R35" s="62" t="n">
        <v>0.9065768799102133</v>
      </c>
    </row>
    <row r="36">
      <c r="A36" s="13" t="n">
        <v>2</v>
      </c>
      <c r="B36" s="13" t="n">
        <v>1</v>
      </c>
      <c r="C36" s="13" t="inlineStr">
        <is>
          <t>R&amp;I ENGINE</t>
        </is>
      </c>
      <c r="D36" s="13" t="inlineStr">
        <is>
          <t>07289-00170</t>
        </is>
      </c>
      <c r="E36" s="13" t="inlineStr">
        <is>
          <t>CLAMP</t>
        </is>
      </c>
      <c r="F36" s="34" t="n">
        <v>2</v>
      </c>
      <c r="G36" s="14" t="n">
        <v>14.87</v>
      </c>
      <c r="H36" s="14" t="n">
        <v>29.74</v>
      </c>
      <c r="I36" s="14" t="n">
        <v>11.79418991970154</v>
      </c>
      <c r="J36" s="14" t="n">
        <v>23.58837983940308</v>
      </c>
      <c r="K36" s="14" t="n">
        <v>13.6804</v>
      </c>
      <c r="L36" s="14" t="n">
        <v>27.3608</v>
      </c>
      <c r="M36" s="61" t="n">
        <v>3.772420160596919</v>
      </c>
      <c r="N36" s="54" t="inlineStr">
        <is>
          <t>MATCH</t>
        </is>
      </c>
      <c r="O36" s="13" t="inlineStr"/>
      <c r="P36" s="14" t="n">
        <v>16.3995652173913</v>
      </c>
      <c r="Q36" s="14" t="n">
        <v>15.0876</v>
      </c>
      <c r="R36" s="62" t="n">
        <v>0.9067313555502533</v>
      </c>
    </row>
    <row r="37">
      <c r="A37" s="13" t="n">
        <v>2</v>
      </c>
      <c r="B37" s="13" t="n">
        <v>1</v>
      </c>
      <c r="C37" s="13" t="inlineStr">
        <is>
          <t>R&amp;I ENGINE</t>
        </is>
      </c>
      <c r="D37" s="13" t="inlineStr">
        <is>
          <t>07299-00070</t>
        </is>
      </c>
      <c r="E37" s="13" t="inlineStr">
        <is>
          <t>CLAMP</t>
        </is>
      </c>
      <c r="F37" s="34" t="n">
        <v>4</v>
      </c>
      <c r="G37" s="14" t="n">
        <v>14.99</v>
      </c>
      <c r="H37" s="14" t="n">
        <v>59.96</v>
      </c>
      <c r="I37" s="14" t="n">
        <v>11.88936831851554</v>
      </c>
      <c r="J37" s="14" t="n">
        <v>47.55747327406217</v>
      </c>
      <c r="K37" s="14" t="n">
        <v>13.7908</v>
      </c>
      <c r="L37" s="14" t="n">
        <v>55.1632</v>
      </c>
      <c r="M37" s="61" t="n">
        <v>7.605726725937835</v>
      </c>
      <c r="N37" s="54" t="inlineStr">
        <is>
          <t>MATCH</t>
        </is>
      </c>
      <c r="O37" s="13" t="inlineStr"/>
      <c r="P37" s="14" t="n">
        <v>16.52869565217391</v>
      </c>
      <c r="Q37" s="14" t="n">
        <v>15.2064</v>
      </c>
      <c r="R37" s="62" t="n">
        <v>0.9069076178451179</v>
      </c>
    </row>
    <row r="38">
      <c r="A38" s="13" t="n">
        <v>2</v>
      </c>
      <c r="B38" s="13" t="n">
        <v>1</v>
      </c>
      <c r="C38" s="13" t="inlineStr">
        <is>
          <t>R&amp;I ENGINE</t>
        </is>
      </c>
      <c r="D38" s="13" t="inlineStr">
        <is>
          <t>07299-00160</t>
        </is>
      </c>
      <c r="E38" s="13" t="inlineStr">
        <is>
          <t>CLAMP</t>
        </is>
      </c>
      <c r="F38" s="34" t="n">
        <v>4</v>
      </c>
      <c r="G38" s="14" t="n">
        <v>53.57</v>
      </c>
      <c r="H38" s="14" t="n">
        <v>214.28</v>
      </c>
      <c r="I38" s="14" t="n">
        <v>42.48922353721665</v>
      </c>
      <c r="J38" s="14" t="n">
        <v>169.9568941488666</v>
      </c>
      <c r="K38" s="14" t="n">
        <v>49.28440000000001</v>
      </c>
      <c r="L38" s="14" t="n">
        <v>197.1376</v>
      </c>
      <c r="M38" s="61" t="n">
        <v>27.18070585113341</v>
      </c>
      <c r="N38" s="54" t="inlineStr">
        <is>
          <t>MATCH</t>
        </is>
      </c>
      <c r="O38" s="13" t="inlineStr"/>
      <c r="P38" s="14" t="n">
        <v>59.08793478260868</v>
      </c>
      <c r="Q38" s="14" t="n">
        <v>54.36089999999999</v>
      </c>
      <c r="R38" s="62" t="n">
        <v>0.9066148647281411</v>
      </c>
    </row>
    <row r="39">
      <c r="A39" s="13" t="n">
        <v>2</v>
      </c>
      <c r="B39" s="13" t="n">
        <v>1</v>
      </c>
      <c r="C39" s="13" t="inlineStr">
        <is>
          <t>R&amp;I ENGINE</t>
        </is>
      </c>
      <c r="D39" s="13" t="inlineStr">
        <is>
          <t>08672-01000</t>
        </is>
      </c>
      <c r="E39" s="13" t="inlineStr">
        <is>
          <t>INDICATOR</t>
        </is>
      </c>
      <c r="F39" s="34" t="n">
        <v>1</v>
      </c>
      <c r="G39" s="14" t="n">
        <v>117.76</v>
      </c>
      <c r="H39" s="14" t="n">
        <v>117.76</v>
      </c>
      <c r="I39" s="14" t="n">
        <v>93.40173536947233</v>
      </c>
      <c r="J39" s="14" t="n">
        <v>93.40173536947233</v>
      </c>
      <c r="K39" s="14" t="n">
        <v>108.3392</v>
      </c>
      <c r="L39" s="14" t="n">
        <v>108.3392</v>
      </c>
      <c r="M39" s="61" t="n">
        <v>14.93746463052767</v>
      </c>
      <c r="N39" s="54" t="inlineStr">
        <is>
          <t>MATCH</t>
        </is>
      </c>
      <c r="O39" s="13" t="inlineStr"/>
      <c r="P39" s="14" t="n">
        <v>129.8944565217391</v>
      </c>
      <c r="Q39" s="14" t="n">
        <v>119.5029</v>
      </c>
      <c r="R39" s="62" t="n">
        <v>0.9065821833612406</v>
      </c>
    </row>
    <row r="40">
      <c r="A40" s="13" t="n">
        <v>2</v>
      </c>
      <c r="B40" s="13" t="n">
        <v>1</v>
      </c>
      <c r="C40" s="13" t="inlineStr">
        <is>
          <t>R&amp;I ENGINE</t>
        </is>
      </c>
      <c r="D40" s="13" t="inlineStr">
        <is>
          <t>1400SC05C</t>
        </is>
      </c>
      <c r="E40" s="13" t="inlineStr">
        <is>
          <t>50/50 COOLANT 5</t>
        </is>
      </c>
      <c r="F40" s="34" t="n">
        <v>7</v>
      </c>
      <c r="G40" s="14" t="n">
        <v>80.56999999999999</v>
      </c>
      <c r="H40" s="14" t="n">
        <v>563.99</v>
      </c>
      <c r="I40" s="14" t="n">
        <v>63.90436327036672</v>
      </c>
      <c r="J40" s="14" t="n">
        <v>447.3305428925671</v>
      </c>
      <c r="K40" s="14" t="n">
        <v>74.12439999999999</v>
      </c>
      <c r="L40" s="14" t="n">
        <v>518.8708</v>
      </c>
      <c r="M40" s="61" t="n">
        <v>71.54025710743298</v>
      </c>
      <c r="N40" s="54" t="inlineStr">
        <is>
          <t>MATCH</t>
        </is>
      </c>
      <c r="O40" s="13" t="inlineStr"/>
      <c r="P40" s="14" t="n">
        <v>100.1836956521739</v>
      </c>
      <c r="Q40" s="14" t="n">
        <v>92.169</v>
      </c>
      <c r="R40" s="62" t="n">
        <v>0.8042226779068884</v>
      </c>
    </row>
    <row r="41">
      <c r="A41" s="13" t="n">
        <v>2</v>
      </c>
      <c r="B41" s="13" t="n">
        <v>1</v>
      </c>
      <c r="C41" s="13" t="inlineStr">
        <is>
          <t>R&amp;I ENGINE</t>
        </is>
      </c>
      <c r="D41" s="13" t="inlineStr">
        <is>
          <t>1400SC55C</t>
        </is>
      </c>
      <c r="E41" s="13" t="inlineStr">
        <is>
          <t>50/50 AF - 55GL</t>
        </is>
      </c>
      <c r="F41" s="34" t="n">
        <v>55</v>
      </c>
      <c r="G41" s="14" t="n">
        <v>14.03</v>
      </c>
      <c r="H41" s="14" t="n">
        <v>771.65</v>
      </c>
      <c r="I41" s="14" t="n">
        <v>11.12794112800354</v>
      </c>
      <c r="J41" s="14" t="n">
        <v>612.0367620401946</v>
      </c>
      <c r="K41" s="14" t="n">
        <v>12.9076</v>
      </c>
      <c r="L41" s="14" t="n">
        <v>709.918</v>
      </c>
      <c r="M41" s="61" t="n">
        <v>97.88123795980539</v>
      </c>
      <c r="N41" s="54" t="inlineStr">
        <is>
          <t>MATCH</t>
        </is>
      </c>
      <c r="O41" s="13" t="inlineStr"/>
      <c r="P41" s="14" t="n">
        <v>17.44336956521739</v>
      </c>
      <c r="Q41" s="14" t="n">
        <v>16.0479</v>
      </c>
      <c r="R41" s="62" t="n">
        <v>0.80431707575446</v>
      </c>
    </row>
    <row r="42">
      <c r="A42" s="13" t="n">
        <v>2</v>
      </c>
      <c r="B42" s="13" t="n">
        <v>1</v>
      </c>
      <c r="C42" s="13" t="inlineStr">
        <is>
          <t>R&amp;I ENGINE</t>
        </is>
      </c>
      <c r="D42" s="13" t="inlineStr">
        <is>
          <t>195-49-36120</t>
        </is>
      </c>
      <c r="E42" s="13" t="inlineStr">
        <is>
          <t>NIPPLE</t>
        </is>
      </c>
      <c r="F42" s="34" t="n">
        <v>1</v>
      </c>
      <c r="G42" s="14" t="n">
        <v>77.20999999999999</v>
      </c>
      <c r="H42" s="14" t="n">
        <v>77.20999999999999</v>
      </c>
      <c r="I42" s="14" t="n">
        <v>61.23936810357471</v>
      </c>
      <c r="J42" s="14" t="n">
        <v>61.23936810357471</v>
      </c>
      <c r="K42" s="14" t="n">
        <v>71.03319999999999</v>
      </c>
      <c r="L42" s="14" t="n">
        <v>71.03319999999999</v>
      </c>
      <c r="M42" s="61" t="n">
        <v>9.793831896425282</v>
      </c>
      <c r="N42" s="54" t="inlineStr">
        <is>
          <t>MATCH</t>
        </is>
      </c>
      <c r="O42" s="13" t="inlineStr"/>
      <c r="P42" s="14" t="n">
        <v>94.63108695652173</v>
      </c>
      <c r="Q42" s="14" t="n">
        <v>87.06059999999999</v>
      </c>
      <c r="R42" s="62" t="n">
        <v>0.8159052430146359</v>
      </c>
    </row>
    <row r="43">
      <c r="A43" s="13" t="n">
        <v>2</v>
      </c>
      <c r="B43" s="13" t="n">
        <v>1</v>
      </c>
      <c r="C43" s="13" t="inlineStr">
        <is>
          <t>R&amp;I ENGINE</t>
        </is>
      </c>
      <c r="D43" s="13" t="inlineStr">
        <is>
          <t>421-60-35170</t>
        </is>
      </c>
      <c r="E43" s="13" t="inlineStr">
        <is>
          <t>ELEMENT,BREA</t>
        </is>
      </c>
      <c r="F43" s="34" t="n">
        <v>1</v>
      </c>
      <c r="G43" s="14" t="n">
        <v>12.82</v>
      </c>
      <c r="H43" s="14" t="n">
        <v>12.82</v>
      </c>
      <c r="I43" s="14" t="n">
        <v>10.16822560662904</v>
      </c>
      <c r="J43" s="14" t="n">
        <v>10.16822560662904</v>
      </c>
      <c r="K43" s="14" t="n">
        <v>11.7944</v>
      </c>
      <c r="L43" s="14" t="n">
        <v>11.7944</v>
      </c>
      <c r="M43" s="61" t="n">
        <v>1.626174393370965</v>
      </c>
      <c r="N43" s="54" t="inlineStr">
        <is>
          <t>MATCH</t>
        </is>
      </c>
      <c r="O43" s="13" t="inlineStr"/>
      <c r="P43" s="14" t="n">
        <v>15.30195652173913</v>
      </c>
      <c r="Q43" s="14" t="n">
        <v>14.0778</v>
      </c>
      <c r="R43" s="62" t="n">
        <v>0.8378013610081122</v>
      </c>
    </row>
    <row r="44">
      <c r="A44" s="13" t="n">
        <v>2</v>
      </c>
      <c r="B44" s="13" t="n">
        <v>1</v>
      </c>
      <c r="C44" s="13" t="inlineStr">
        <is>
          <t>R&amp;I ENGINE</t>
        </is>
      </c>
      <c r="D44" s="13" t="inlineStr">
        <is>
          <t>424-01-11310</t>
        </is>
      </c>
      <c r="E44" s="13" t="inlineStr">
        <is>
          <t>CUSHION</t>
        </is>
      </c>
      <c r="F44" s="34" t="n">
        <v>8</v>
      </c>
      <c r="G44" s="14" t="n">
        <v>405.82</v>
      </c>
      <c r="H44" s="14" t="n">
        <v>3246.56</v>
      </c>
      <c r="I44" s="14" t="n">
        <v>321.8774817224801</v>
      </c>
      <c r="J44" s="14" t="n">
        <v>2575.019853779841</v>
      </c>
      <c r="K44" s="14" t="n">
        <v>373.3544</v>
      </c>
      <c r="L44" s="14" t="n">
        <v>2986.8352</v>
      </c>
      <c r="M44" s="61" t="n">
        <v>411.815346220159</v>
      </c>
      <c r="N44" s="54" t="inlineStr">
        <is>
          <t>MATCH</t>
        </is>
      </c>
      <c r="O44" s="13" t="inlineStr"/>
      <c r="P44" s="14" t="n">
        <v>447.6091304347826</v>
      </c>
      <c r="Q44" s="14" t="n">
        <v>411.8004</v>
      </c>
      <c r="R44" s="62" t="n">
        <v>0.9066392359016651</v>
      </c>
    </row>
    <row r="45">
      <c r="A45" s="13" t="n">
        <v>2</v>
      </c>
      <c r="B45" s="13" t="n">
        <v>1</v>
      </c>
      <c r="C45" s="13" t="inlineStr">
        <is>
          <t>R&amp;I ENGINE</t>
        </is>
      </c>
      <c r="D45" s="13" t="inlineStr">
        <is>
          <t>566-98-15100</t>
        </is>
      </c>
      <c r="E45" s="13" t="inlineStr">
        <is>
          <t>VENT ASSY B</t>
        </is>
      </c>
      <c r="F45" s="34" t="n">
        <v>1</v>
      </c>
      <c r="G45" s="14" t="n">
        <v>466.49</v>
      </c>
      <c r="H45" s="14" t="n">
        <v>466.49</v>
      </c>
      <c r="I45" s="14" t="n">
        <v>369.9980938561918</v>
      </c>
      <c r="J45" s="14" t="n">
        <v>369.9980938561918</v>
      </c>
      <c r="K45" s="14" t="n">
        <v>429.1708</v>
      </c>
      <c r="L45" s="14" t="n">
        <v>429.1708</v>
      </c>
      <c r="M45" s="61" t="n">
        <v>59.17270614380823</v>
      </c>
      <c r="N45" s="54" t="inlineStr">
        <is>
          <t>MATCH</t>
        </is>
      </c>
      <c r="O45" s="13" t="inlineStr"/>
      <c r="P45" s="14" t="n">
        <v>571.7034782608695</v>
      </c>
      <c r="Q45" s="14" t="n">
        <v>525.9671999999999</v>
      </c>
      <c r="R45" s="62" t="n">
        <v>0.8159649499056216</v>
      </c>
    </row>
    <row r="46">
      <c r="A46" s="13" t="n">
        <v>2</v>
      </c>
      <c r="B46" s="13" t="n">
        <v>1</v>
      </c>
      <c r="C46" s="13" t="inlineStr">
        <is>
          <t>R&amp;I ENGINE</t>
        </is>
      </c>
      <c r="D46" s="13" t="inlineStr">
        <is>
          <t>569-02-12230</t>
        </is>
      </c>
      <c r="E46" s="13" t="inlineStr">
        <is>
          <t>HOSE</t>
        </is>
      </c>
      <c r="F46" s="34" t="n">
        <v>2</v>
      </c>
      <c r="G46" s="14" t="n">
        <v>55.15</v>
      </c>
      <c r="H46" s="14" t="n">
        <v>110.3</v>
      </c>
      <c r="I46" s="14" t="n">
        <v>43.74240578826765</v>
      </c>
      <c r="J46" s="14" t="n">
        <v>87.48481157653531</v>
      </c>
      <c r="K46" s="14" t="n">
        <v>50.738</v>
      </c>
      <c r="L46" s="14" t="n">
        <v>101.476</v>
      </c>
      <c r="M46" s="61" t="n">
        <v>13.99118842346469</v>
      </c>
      <c r="N46" s="54" t="inlineStr">
        <is>
          <t>MATCH</t>
        </is>
      </c>
      <c r="O46" s="13" t="inlineStr"/>
      <c r="P46" s="14" t="n">
        <v>65.80271739130434</v>
      </c>
      <c r="Q46" s="14" t="n">
        <v>60.5385</v>
      </c>
      <c r="R46" s="62" t="n">
        <v>0.8381112845544572</v>
      </c>
    </row>
    <row r="47">
      <c r="A47" s="13" t="n">
        <v>2</v>
      </c>
      <c r="B47" s="13" t="n">
        <v>1</v>
      </c>
      <c r="C47" s="13" t="inlineStr">
        <is>
          <t>R&amp;I ENGINE</t>
        </is>
      </c>
      <c r="D47" s="13" t="inlineStr">
        <is>
          <t>6128-11-5611</t>
        </is>
      </c>
      <c r="E47" s="13" t="inlineStr">
        <is>
          <t>GASKET P60</t>
        </is>
      </c>
      <c r="F47" s="34" t="n">
        <v>2</v>
      </c>
      <c r="G47" s="14" t="n">
        <v>14.99</v>
      </c>
      <c r="H47" s="14" t="n">
        <v>29.98</v>
      </c>
      <c r="I47" s="14" t="n">
        <v>11.88936831851554</v>
      </c>
      <c r="J47" s="14" t="n">
        <v>23.77873663703108</v>
      </c>
      <c r="K47" s="14" t="n">
        <v>13.7908</v>
      </c>
      <c r="L47" s="14" t="n">
        <v>27.5816</v>
      </c>
      <c r="M47" s="61" t="n">
        <v>3.802863362968917</v>
      </c>
      <c r="N47" s="54" t="inlineStr">
        <is>
          <t>MATCH</t>
        </is>
      </c>
      <c r="O47" s="13" t="inlineStr"/>
      <c r="P47" s="14" t="n">
        <v>17.88456521739131</v>
      </c>
      <c r="Q47" s="14" t="n">
        <v>16.4538</v>
      </c>
      <c r="R47" s="62" t="n">
        <v>0.838152888694405</v>
      </c>
    </row>
    <row r="48">
      <c r="A48" s="13" t="n">
        <v>2</v>
      </c>
      <c r="B48" s="13" t="n">
        <v>1</v>
      </c>
      <c r="C48" s="13" t="inlineStr">
        <is>
          <t>R&amp;I ENGINE</t>
        </is>
      </c>
      <c r="D48" s="13" t="inlineStr">
        <is>
          <t>6162-13-5870</t>
        </is>
      </c>
      <c r="E48" s="13" t="inlineStr">
        <is>
          <t>HOSE</t>
        </is>
      </c>
      <c r="F48" s="34" t="n">
        <v>2</v>
      </c>
      <c r="G48" s="14" t="n">
        <v>115.64</v>
      </c>
      <c r="H48" s="14" t="n">
        <v>231.28</v>
      </c>
      <c r="I48" s="14" t="n">
        <v>91.72025032375832</v>
      </c>
      <c r="J48" s="14" t="n">
        <v>183.4405006475166</v>
      </c>
      <c r="K48" s="14" t="n">
        <v>106.3888</v>
      </c>
      <c r="L48" s="14" t="n">
        <v>212.7776</v>
      </c>
      <c r="M48" s="61" t="n">
        <v>29.33709935248336</v>
      </c>
      <c r="N48" s="54" t="inlineStr">
        <is>
          <t>MATCH</t>
        </is>
      </c>
      <c r="O48" s="13" t="inlineStr"/>
      <c r="P48" s="14" t="n">
        <v>136.6307608695652</v>
      </c>
      <c r="Q48" s="14" t="n">
        <v>125.7003</v>
      </c>
      <c r="R48" s="62" t="n">
        <v>0.8463687039728625</v>
      </c>
    </row>
    <row r="49">
      <c r="A49" s="13" t="n">
        <v>2</v>
      </c>
      <c r="B49" s="13" t="n">
        <v>1</v>
      </c>
      <c r="C49" s="13" t="inlineStr">
        <is>
          <t>R&amp;I ENGINE</t>
        </is>
      </c>
      <c r="D49" s="13" t="inlineStr">
        <is>
          <t>6211-11-5890</t>
        </is>
      </c>
      <c r="E49" s="13" t="inlineStr">
        <is>
          <t>GASKET</t>
        </is>
      </c>
      <c r="F49" s="34" t="n">
        <v>2</v>
      </c>
      <c r="G49" s="14" t="n">
        <v>27.47</v>
      </c>
      <c r="H49" s="14" t="n">
        <v>54.94</v>
      </c>
      <c r="I49" s="14" t="n">
        <v>21.78792179517157</v>
      </c>
      <c r="J49" s="14" t="n">
        <v>43.57584359034315</v>
      </c>
      <c r="K49" s="14" t="n">
        <v>25.2724</v>
      </c>
      <c r="L49" s="14" t="n">
        <v>50.5448</v>
      </c>
      <c r="M49" s="61" t="n">
        <v>6.968956409656855</v>
      </c>
      <c r="N49" s="54" t="inlineStr">
        <is>
          <t>MATCH</t>
        </is>
      </c>
      <c r="O49" s="13" t="inlineStr"/>
      <c r="P49" s="14" t="n">
        <v>32.76684782608695</v>
      </c>
      <c r="Q49" s="14" t="n">
        <v>30.1455</v>
      </c>
      <c r="R49" s="62" t="n">
        <v>0.8383473486921763</v>
      </c>
    </row>
    <row r="50">
      <c r="A50" s="13" t="n">
        <v>3</v>
      </c>
      <c r="B50" s="13" t="n">
        <v>1</v>
      </c>
      <c r="C50" s="13" t="inlineStr">
        <is>
          <t>R&amp;I ENGINE</t>
        </is>
      </c>
      <c r="D50" s="13" t="inlineStr">
        <is>
          <t>6215-61-3390</t>
        </is>
      </c>
      <c r="E50" s="13" t="inlineStr">
        <is>
          <t>V-BELT SET=5</t>
        </is>
      </c>
      <c r="F50" s="34" t="n">
        <v>1</v>
      </c>
      <c r="G50" s="14" t="n">
        <v>516.23</v>
      </c>
      <c r="H50" s="14" t="n">
        <v>516.23</v>
      </c>
      <c r="I50" s="14" t="n">
        <v>409.449540164595</v>
      </c>
      <c r="J50" s="14" t="n">
        <v>409.449540164595</v>
      </c>
      <c r="K50" s="14" t="n">
        <v>474.9316000000001</v>
      </c>
      <c r="L50" s="14" t="n">
        <v>474.9316000000001</v>
      </c>
      <c r="M50" s="61" t="n">
        <v>65.4820598354051</v>
      </c>
      <c r="N50" s="54" t="inlineStr">
        <is>
          <t>MATCH</t>
        </is>
      </c>
      <c r="O50" s="13" t="inlineStr"/>
      <c r="P50" s="14" t="n">
        <v>569.3898913043478</v>
      </c>
      <c r="Q50" s="14" t="n">
        <v>523.8387</v>
      </c>
      <c r="R50" s="62" t="n">
        <v>0.9066371003135126</v>
      </c>
    </row>
    <row r="51">
      <c r="A51" s="13" t="n">
        <v>3</v>
      </c>
      <c r="B51" s="13" t="n">
        <v>1</v>
      </c>
      <c r="C51" s="13" t="inlineStr">
        <is>
          <t>R&amp;I ENGINE</t>
        </is>
      </c>
      <c r="D51" s="13" t="inlineStr">
        <is>
          <t>6215-61-7340</t>
        </is>
      </c>
      <c r="E51" s="13" t="inlineStr">
        <is>
          <t>GASKET</t>
        </is>
      </c>
      <c r="F51" s="34" t="n">
        <v>2</v>
      </c>
      <c r="G51" s="14" t="n">
        <v>8.640000000000001</v>
      </c>
      <c r="H51" s="14" t="n">
        <v>17.28</v>
      </c>
      <c r="I51" s="14" t="n">
        <v>6.852844714608024</v>
      </c>
      <c r="J51" s="14" t="n">
        <v>13.70568942921605</v>
      </c>
      <c r="K51" s="14" t="n">
        <v>7.948800000000001</v>
      </c>
      <c r="L51" s="14" t="n">
        <v>15.8976</v>
      </c>
      <c r="M51" s="61" t="n">
        <v>2.191910570783953</v>
      </c>
      <c r="N51" s="54" t="inlineStr">
        <is>
          <t>MATCH</t>
        </is>
      </c>
      <c r="O51" s="13" t="inlineStr"/>
      <c r="P51" s="14" t="n">
        <v>10.30891304347826</v>
      </c>
      <c r="Q51" s="14" t="n">
        <v>9.4842</v>
      </c>
      <c r="R51" s="62" t="n">
        <v>0.8381096982349594</v>
      </c>
    </row>
    <row r="52">
      <c r="A52" s="13" t="n">
        <v>3</v>
      </c>
      <c r="B52" s="13" t="n">
        <v>1</v>
      </c>
      <c r="C52" s="13" t="inlineStr">
        <is>
          <t>R&amp;I ENGINE</t>
        </is>
      </c>
      <c r="D52" s="13" t="inlineStr">
        <is>
          <t>6215-61-7361</t>
        </is>
      </c>
      <c r="E52" s="13" t="inlineStr">
        <is>
          <t>GASKET</t>
        </is>
      </c>
      <c r="F52" s="34" t="n">
        <v>1</v>
      </c>
      <c r="G52" s="14" t="n">
        <v>11.28</v>
      </c>
      <c r="H52" s="14" t="n">
        <v>11.28</v>
      </c>
      <c r="I52" s="14" t="n">
        <v>8.946769488516031</v>
      </c>
      <c r="J52" s="14" t="n">
        <v>8.946769488516031</v>
      </c>
      <c r="K52" s="14" t="n">
        <v>10.3776</v>
      </c>
      <c r="L52" s="14" t="n">
        <v>10.3776</v>
      </c>
      <c r="M52" s="61" t="n">
        <v>1.430830511483968</v>
      </c>
      <c r="N52" s="54" t="inlineStr">
        <is>
          <t>MATCH</t>
        </is>
      </c>
      <c r="O52" s="13" t="inlineStr"/>
      <c r="P52" s="14" t="n">
        <v>13.46184782608696</v>
      </c>
      <c r="Q52" s="14" t="n">
        <v>12.3849</v>
      </c>
      <c r="R52" s="62" t="n">
        <v>0.8379236005135285</v>
      </c>
    </row>
    <row r="53">
      <c r="A53" s="13" t="n">
        <v>3</v>
      </c>
      <c r="B53" s="13" t="n">
        <v>1</v>
      </c>
      <c r="C53" s="13" t="inlineStr">
        <is>
          <t>R&amp;I ENGINE</t>
        </is>
      </c>
      <c r="D53" s="13" t="inlineStr">
        <is>
          <t>6216-74-6220</t>
        </is>
      </c>
      <c r="E53" s="13" t="inlineStr">
        <is>
          <t>O-RING</t>
        </is>
      </c>
      <c r="F53" s="34" t="n">
        <v>1</v>
      </c>
      <c r="G53" s="14" t="n">
        <v>8.44</v>
      </c>
      <c r="H53" s="14" t="n">
        <v>8.44</v>
      </c>
      <c r="I53" s="14" t="n">
        <v>6.694214049918023</v>
      </c>
      <c r="J53" s="14" t="n">
        <v>6.694214049918023</v>
      </c>
      <c r="K53" s="14" t="n">
        <v>7.7648</v>
      </c>
      <c r="L53" s="14" t="n">
        <v>7.7648</v>
      </c>
      <c r="M53" s="61" t="n">
        <v>1.070585950081977</v>
      </c>
      <c r="N53" s="54" t="inlineStr">
        <is>
          <t>MATCH</t>
        </is>
      </c>
      <c r="O53" s="13" t="inlineStr"/>
      <c r="P53" s="14" t="n">
        <v>9.587934782608695</v>
      </c>
      <c r="Q53" s="14" t="n">
        <v>8.8209</v>
      </c>
      <c r="R53" s="62" t="n">
        <v>0.8802729880170957</v>
      </c>
    </row>
    <row r="54">
      <c r="A54" s="13" t="n">
        <v>3</v>
      </c>
      <c r="B54" s="13" t="n">
        <v>1</v>
      </c>
      <c r="C54" s="13" t="inlineStr">
        <is>
          <t>R&amp;I ENGINE</t>
        </is>
      </c>
      <c r="D54" s="13" t="inlineStr">
        <is>
          <t>6221-81-6810</t>
        </is>
      </c>
      <c r="E54" s="13" t="inlineStr">
        <is>
          <t>GASKET</t>
        </is>
      </c>
      <c r="F54" s="34" t="n">
        <v>2</v>
      </c>
      <c r="G54" s="14" t="n">
        <v>4.31</v>
      </c>
      <c r="H54" s="14" t="n">
        <v>8.619999999999999</v>
      </c>
      <c r="I54" s="14" t="n">
        <v>3.418490824069512</v>
      </c>
      <c r="J54" s="14" t="n">
        <v>6.836981648139023</v>
      </c>
      <c r="K54" s="14" t="n">
        <v>3.9652</v>
      </c>
      <c r="L54" s="14" t="n">
        <v>7.9304</v>
      </c>
      <c r="M54" s="61" t="n">
        <v>1.093418351860977</v>
      </c>
      <c r="N54" s="54" t="inlineStr">
        <is>
          <t>MATCH</t>
        </is>
      </c>
      <c r="O54" s="13" t="inlineStr"/>
      <c r="P54" s="14" t="n">
        <v>5.143695652173913</v>
      </c>
      <c r="Q54" s="14" t="n">
        <v>4.732200000000001</v>
      </c>
      <c r="R54" s="62" t="n">
        <v>0.8379189383373483</v>
      </c>
    </row>
    <row r="55">
      <c r="A55" s="13" t="n">
        <v>3</v>
      </c>
      <c r="B55" s="13" t="n">
        <v>1</v>
      </c>
      <c r="C55" s="13" t="inlineStr">
        <is>
          <t>R&amp;I ENGINE</t>
        </is>
      </c>
      <c r="D55" s="13" t="inlineStr">
        <is>
          <t>6735-21-4160</t>
        </is>
      </c>
      <c r="E55" s="13" t="inlineStr">
        <is>
          <t>SEAL,ORING</t>
        </is>
      </c>
      <c r="F55" s="34" t="n">
        <v>1</v>
      </c>
      <c r="G55" s="14" t="n">
        <v>3.5</v>
      </c>
      <c r="H55" s="14" t="n">
        <v>3.5</v>
      </c>
      <c r="I55" s="14" t="n">
        <v>2.77603663207501</v>
      </c>
      <c r="J55" s="14" t="n">
        <v>2.77603663207501</v>
      </c>
      <c r="K55" s="14" t="n">
        <v>3.22</v>
      </c>
      <c r="L55" s="14" t="n">
        <v>3.22</v>
      </c>
      <c r="M55" s="61" t="n">
        <v>0.4439633679249906</v>
      </c>
      <c r="N55" s="54" t="inlineStr">
        <is>
          <t>MATCH</t>
        </is>
      </c>
      <c r="O55" s="13" t="inlineStr"/>
      <c r="P55" s="14" t="n">
        <v>4.164456521739131</v>
      </c>
      <c r="Q55" s="14" t="n">
        <v>3.8313</v>
      </c>
      <c r="R55" s="62" t="n">
        <v>0.8404458016861117</v>
      </c>
    </row>
    <row r="56">
      <c r="A56" s="13" t="n">
        <v>3</v>
      </c>
      <c r="B56" s="13" t="n">
        <v>1</v>
      </c>
      <c r="C56" s="13" t="inlineStr">
        <is>
          <t>R&amp;I ENGINE</t>
        </is>
      </c>
      <c r="D56" s="13" t="inlineStr">
        <is>
          <t>6933-11-5140</t>
        </is>
      </c>
      <c r="E56" s="13" t="inlineStr">
        <is>
          <t>SEAL RING</t>
        </is>
      </c>
      <c r="F56" s="34" t="n">
        <v>2</v>
      </c>
      <c r="G56" s="14" t="n">
        <v>193.91</v>
      </c>
      <c r="H56" s="14" t="n">
        <v>387.82</v>
      </c>
      <c r="I56" s="14" t="n">
        <v>153.80036095019</v>
      </c>
      <c r="J56" s="14" t="n">
        <v>307.6007219003801</v>
      </c>
      <c r="K56" s="14" t="n">
        <v>178.3972</v>
      </c>
      <c r="L56" s="14" t="n">
        <v>356.7944</v>
      </c>
      <c r="M56" s="61" t="n">
        <v>49.19367809961994</v>
      </c>
      <c r="N56" s="54" t="inlineStr">
        <is>
          <t>MATCH</t>
        </is>
      </c>
      <c r="O56" s="13" t="inlineStr"/>
      <c r="P56" s="14" t="n">
        <v>231.3479347826087</v>
      </c>
      <c r="Q56" s="14" t="n">
        <v>212.8401</v>
      </c>
      <c r="R56" s="62" t="n">
        <v>0.8381747612409504</v>
      </c>
    </row>
    <row r="57">
      <c r="A57" s="13" t="n">
        <v>3</v>
      </c>
      <c r="B57" s="13" t="n">
        <v>1</v>
      </c>
      <c r="C57" s="13" t="inlineStr">
        <is>
          <t>R&amp;I ENGINE</t>
        </is>
      </c>
      <c r="D57" s="13" t="inlineStr">
        <is>
          <t>6933-11-5150</t>
        </is>
      </c>
      <c r="E57" s="13" t="inlineStr">
        <is>
          <t>GASKET</t>
        </is>
      </c>
      <c r="F57" s="34" t="n">
        <v>2</v>
      </c>
      <c r="G57" s="14" t="n">
        <v>361.9</v>
      </c>
      <c r="H57" s="14" t="n">
        <v>723.8</v>
      </c>
      <c r="I57" s="14" t="n">
        <v>287.042187756556</v>
      </c>
      <c r="J57" s="14" t="n">
        <v>574.0843755131119</v>
      </c>
      <c r="K57" s="14" t="n">
        <v>332.948</v>
      </c>
      <c r="L57" s="14" t="n">
        <v>665.896</v>
      </c>
      <c r="M57" s="61" t="n">
        <v>91.81162448688804</v>
      </c>
      <c r="N57" s="54" t="inlineStr">
        <is>
          <t>MATCH</t>
        </is>
      </c>
      <c r="O57" s="13" t="inlineStr"/>
      <c r="P57" s="14" t="n">
        <v>431.7583695652174</v>
      </c>
      <c r="Q57" s="14" t="n">
        <v>397.2177</v>
      </c>
      <c r="R57" s="62" t="n">
        <v>0.8382003118189344</v>
      </c>
    </row>
    <row r="58">
      <c r="A58" s="64" t="n">
        <v>3</v>
      </c>
      <c r="B58" s="64" t="n">
        <v>2</v>
      </c>
      <c r="C58" s="64" t="inlineStr">
        <is>
          <t>R&amp;I COOLING PACKAGE</t>
        </is>
      </c>
      <c r="D58" s="64" t="inlineStr">
        <is>
          <t>07000-F2060</t>
        </is>
      </c>
      <c r="E58" s="64" t="inlineStr">
        <is>
          <t>O-RING</t>
        </is>
      </c>
      <c r="F58" s="65" t="n">
        <v>1</v>
      </c>
      <c r="G58" s="66" t="n">
        <v>15.3</v>
      </c>
      <c r="H58" s="66" t="n">
        <v>15.3</v>
      </c>
      <c r="I58" s="66" t="n">
        <v>12.13524584878504</v>
      </c>
      <c r="J58" s="66" t="n">
        <v>12.13524584878504</v>
      </c>
      <c r="K58" s="66" t="n">
        <v>14.076</v>
      </c>
      <c r="L58" s="66" t="n">
        <v>14.076</v>
      </c>
      <c r="M58" s="67" t="n">
        <v>1.940754151214957</v>
      </c>
      <c r="N58" s="68" t="inlineStr">
        <is>
          <t>MATCH</t>
        </is>
      </c>
      <c r="O58" s="64" t="inlineStr"/>
      <c r="P58" s="66" t="n">
        <v>16.87304347826087</v>
      </c>
      <c r="Q58" s="66" t="n">
        <v>15.5232</v>
      </c>
      <c r="R58" s="69" t="n">
        <v>0.9067717996289426</v>
      </c>
    </row>
    <row r="59">
      <c r="A59" s="64" t="n">
        <v>3</v>
      </c>
      <c r="B59" s="64" t="n">
        <v>2</v>
      </c>
      <c r="C59" s="64" t="inlineStr">
        <is>
          <t>R&amp;I COOLING PACKAGE</t>
        </is>
      </c>
      <c r="D59" s="64" t="inlineStr">
        <is>
          <t>07000-F3032</t>
        </is>
      </c>
      <c r="E59" s="64" t="inlineStr">
        <is>
          <t>O-RING P60</t>
        </is>
      </c>
      <c r="F59" s="65" t="n">
        <v>2</v>
      </c>
      <c r="G59" s="66" t="n">
        <v>13.44</v>
      </c>
      <c r="H59" s="66" t="n">
        <v>26.88</v>
      </c>
      <c r="I59" s="66" t="n">
        <v>10.65998066716804</v>
      </c>
      <c r="J59" s="66" t="n">
        <v>21.31996133433607</v>
      </c>
      <c r="K59" s="66" t="n">
        <v>12.3648</v>
      </c>
      <c r="L59" s="66" t="n">
        <v>24.7296</v>
      </c>
      <c r="M59" s="67" t="n">
        <v>3.409638665663927</v>
      </c>
      <c r="N59" s="68" t="inlineStr">
        <is>
          <t>MATCH</t>
        </is>
      </c>
      <c r="O59" s="64" t="inlineStr"/>
      <c r="P59" s="66" t="n">
        <v>14.81771739130435</v>
      </c>
      <c r="Q59" s="66" t="n">
        <v>13.6323</v>
      </c>
      <c r="R59" s="69" t="n">
        <v>0.9070222926432078</v>
      </c>
    </row>
    <row r="60">
      <c r="A60" s="64" t="n">
        <v>3</v>
      </c>
      <c r="B60" s="64" t="n">
        <v>2</v>
      </c>
      <c r="C60" s="64" t="inlineStr">
        <is>
          <t>R&amp;I COOLING PACKAGE</t>
        </is>
      </c>
      <c r="D60" s="64" t="inlineStr">
        <is>
          <t>07000-F3048</t>
        </is>
      </c>
      <c r="E60" s="64" t="inlineStr">
        <is>
          <t>O-RING P</t>
        </is>
      </c>
      <c r="F60" s="65" t="n">
        <v>4</v>
      </c>
      <c r="G60" s="66" t="n">
        <v>15.06</v>
      </c>
      <c r="H60" s="66" t="n">
        <v>60.24</v>
      </c>
      <c r="I60" s="66" t="n">
        <v>11.94488905115704</v>
      </c>
      <c r="J60" s="66" t="n">
        <v>47.77955620462817</v>
      </c>
      <c r="K60" s="66" t="n">
        <v>13.8552</v>
      </c>
      <c r="L60" s="66" t="n">
        <v>55.42080000000001</v>
      </c>
      <c r="M60" s="67" t="n">
        <v>7.641243795371835</v>
      </c>
      <c r="N60" s="68" t="inlineStr">
        <is>
          <t>MATCH</t>
        </is>
      </c>
      <c r="O60" s="64" t="inlineStr"/>
      <c r="P60" s="66" t="n">
        <v>16.60402173913043</v>
      </c>
      <c r="Q60" s="66" t="n">
        <v>15.2757</v>
      </c>
      <c r="R60" s="69" t="n">
        <v>0.9070091714291327</v>
      </c>
    </row>
    <row r="61">
      <c r="A61" s="64" t="n">
        <v>3</v>
      </c>
      <c r="B61" s="64" t="n">
        <v>2</v>
      </c>
      <c r="C61" s="64" t="inlineStr">
        <is>
          <t>R&amp;I COOLING PACKAGE</t>
        </is>
      </c>
      <c r="D61" s="64" t="inlineStr">
        <is>
          <t>07002-23634</t>
        </is>
      </c>
      <c r="E61" s="64" t="inlineStr">
        <is>
          <t>O-RING</t>
        </is>
      </c>
      <c r="F61" s="65" t="n">
        <v>1</v>
      </c>
      <c r="G61" s="66" t="n">
        <v>13.91</v>
      </c>
      <c r="H61" s="66" t="n">
        <v>13.91</v>
      </c>
      <c r="I61" s="66" t="n">
        <v>11.03276272918954</v>
      </c>
      <c r="J61" s="66" t="n">
        <v>11.03276272918954</v>
      </c>
      <c r="K61" s="66" t="n">
        <v>12.7972</v>
      </c>
      <c r="L61" s="66" t="n">
        <v>12.7972</v>
      </c>
      <c r="M61" s="67" t="n">
        <v>1.764437270810461</v>
      </c>
      <c r="N61" s="68" t="inlineStr">
        <is>
          <t>MATCH</t>
        </is>
      </c>
      <c r="O61" s="64" t="inlineStr"/>
      <c r="P61" s="66" t="n">
        <v>15.33423913043478</v>
      </c>
      <c r="Q61" s="66" t="n">
        <v>14.1075</v>
      </c>
      <c r="R61" s="69" t="n">
        <v>0.9071203260676945</v>
      </c>
    </row>
    <row r="62">
      <c r="A62" s="64" t="n">
        <v>3</v>
      </c>
      <c r="B62" s="64" t="n">
        <v>2</v>
      </c>
      <c r="C62" s="64" t="inlineStr">
        <is>
          <t>R&amp;I COOLING PACKAGE</t>
        </is>
      </c>
      <c r="D62" s="64" t="inlineStr">
        <is>
          <t>07093-20000</t>
        </is>
      </c>
      <c r="E62" s="64" t="inlineStr">
        <is>
          <t>CAP</t>
        </is>
      </c>
      <c r="F62" s="65" t="n">
        <v>1</v>
      </c>
      <c r="G62" s="66" t="n">
        <v>296.58</v>
      </c>
      <c r="H62" s="66" t="n">
        <v>296.58</v>
      </c>
      <c r="I62" s="66" t="n">
        <v>235.2334126688018</v>
      </c>
      <c r="J62" s="66" t="n">
        <v>235.2334126688018</v>
      </c>
      <c r="K62" s="66" t="n">
        <v>272.8536</v>
      </c>
      <c r="L62" s="66" t="n">
        <v>272.8536</v>
      </c>
      <c r="M62" s="67" t="n">
        <v>37.62018733119817</v>
      </c>
      <c r="N62" s="68" t="inlineStr">
        <is>
          <t>MATCH</t>
        </is>
      </c>
      <c r="O62" s="64" t="inlineStr"/>
      <c r="P62" s="66" t="n">
        <v>336.944347826087</v>
      </c>
      <c r="Q62" s="66" t="n">
        <v>309.9888</v>
      </c>
      <c r="R62" s="69" t="n">
        <v>0.880204704169957</v>
      </c>
    </row>
    <row r="63">
      <c r="A63" s="64" t="n">
        <v>3</v>
      </c>
      <c r="B63" s="64" t="n">
        <v>2</v>
      </c>
      <c r="C63" s="64" t="inlineStr">
        <is>
          <t>R&amp;I COOLING PACKAGE</t>
        </is>
      </c>
      <c r="D63" s="64" t="inlineStr">
        <is>
          <t>07260-09928</t>
        </is>
      </c>
      <c r="E63" s="64" t="inlineStr">
        <is>
          <t>HOSE</t>
        </is>
      </c>
      <c r="F63" s="65" t="n">
        <v>1</v>
      </c>
      <c r="G63" s="66" t="n">
        <v>386.69</v>
      </c>
      <c r="H63" s="66" t="n">
        <v>386.69</v>
      </c>
      <c r="I63" s="66" t="n">
        <v>306.7044586448816</v>
      </c>
      <c r="J63" s="66" t="n">
        <v>306.7044586448816</v>
      </c>
      <c r="K63" s="66" t="n">
        <v>355.7548</v>
      </c>
      <c r="L63" s="66" t="n">
        <v>355.7548</v>
      </c>
      <c r="M63" s="67" t="n">
        <v>49.05034135511841</v>
      </c>
      <c r="N63" s="68" t="inlineStr">
        <is>
          <t>MATCH</t>
        </is>
      </c>
      <c r="O63" s="64" t="inlineStr"/>
      <c r="P63" s="66" t="n">
        <v>426.5178260869565</v>
      </c>
      <c r="Q63" s="66" t="n">
        <v>392.3964</v>
      </c>
      <c r="R63" s="69" t="n">
        <v>0.9066209577865648</v>
      </c>
    </row>
    <row r="64">
      <c r="A64" s="64" t="n">
        <v>3</v>
      </c>
      <c r="B64" s="64" t="n">
        <v>2</v>
      </c>
      <c r="C64" s="64" t="inlineStr">
        <is>
          <t>R&amp;I COOLING PACKAGE</t>
        </is>
      </c>
      <c r="D64" s="64" t="inlineStr">
        <is>
          <t>SUBLETL</t>
        </is>
      </c>
      <c r="E64" s="64" t="inlineStr">
        <is>
          <t>RAD/COOLRS RPR</t>
        </is>
      </c>
      <c r="F64" s="65" t="n">
        <v>1</v>
      </c>
      <c r="G64" s="66" t="n">
        <v>5820</v>
      </c>
      <c r="H64" s="66" t="n">
        <v>5820</v>
      </c>
      <c r="I64" s="66" t="n">
        <v>4616.152342479017</v>
      </c>
      <c r="J64" s="66" t="n">
        <v>4616.152342479017</v>
      </c>
      <c r="K64" s="66" t="n">
        <v>5354.400000000001</v>
      </c>
      <c r="L64" s="66" t="n">
        <v>5354.400000000001</v>
      </c>
      <c r="M64" s="66" t="n"/>
      <c r="N64" s="63" t="inlineStr">
        <is>
          <t>NO MATCH</t>
        </is>
      </c>
      <c r="O64" s="64" t="inlineStr">
        <is>
          <t>Sublet / outside service</t>
        </is>
      </c>
      <c r="P64" s="66" t="n"/>
      <c r="Q64" s="66" t="n"/>
      <c r="R64" s="69" t="n"/>
    </row>
    <row r="65">
      <c r="A65" s="64" t="n">
        <v>4</v>
      </c>
      <c r="B65" s="64" t="n">
        <v>2</v>
      </c>
      <c r="C65" s="64" t="inlineStr">
        <is>
          <t>R&amp;I COOLING PACKAGE</t>
        </is>
      </c>
      <c r="D65" s="64" t="inlineStr">
        <is>
          <t>07260-25820</t>
        </is>
      </c>
      <c r="E65" s="64" t="inlineStr">
        <is>
          <t>HOSE</t>
        </is>
      </c>
      <c r="F65" s="65" t="n">
        <v>2</v>
      </c>
      <c r="G65" s="66" t="n">
        <v>114.13</v>
      </c>
      <c r="H65" s="66" t="n">
        <v>228.26</v>
      </c>
      <c r="I65" s="66" t="n">
        <v>90.52258880534882</v>
      </c>
      <c r="J65" s="66" t="n">
        <v>181.0451776106976</v>
      </c>
      <c r="K65" s="66" t="n">
        <v>104.9996</v>
      </c>
      <c r="L65" s="66" t="n">
        <v>209.9992</v>
      </c>
      <c r="M65" s="67" t="n">
        <v>28.95402238930237</v>
      </c>
      <c r="N65" s="68" t="inlineStr">
        <is>
          <t>MATCH</t>
        </is>
      </c>
      <c r="O65" s="64" t="inlineStr"/>
      <c r="P65" s="66" t="n">
        <v>125.880652173913</v>
      </c>
      <c r="Q65" s="66" t="n">
        <v>115.8102</v>
      </c>
      <c r="R65" s="69" t="n">
        <v>0.9066524364865961</v>
      </c>
    </row>
    <row r="66">
      <c r="A66" s="64" t="n">
        <v>4</v>
      </c>
      <c r="B66" s="64" t="n">
        <v>2</v>
      </c>
      <c r="C66" s="64" t="inlineStr">
        <is>
          <t>R&amp;I COOLING PACKAGE</t>
        </is>
      </c>
      <c r="D66" s="64" t="inlineStr">
        <is>
          <t>07260-25850</t>
        </is>
      </c>
      <c r="E66" s="64" t="inlineStr">
        <is>
          <t>HOSE</t>
        </is>
      </c>
      <c r="F66" s="65" t="n">
        <v>1</v>
      </c>
      <c r="G66" s="66" t="n">
        <v>156.24</v>
      </c>
      <c r="H66" s="66" t="n">
        <v>156.24</v>
      </c>
      <c r="I66" s="66" t="n">
        <v>123.9222752558284</v>
      </c>
      <c r="J66" s="66" t="n">
        <v>123.9222752558284</v>
      </c>
      <c r="K66" s="66" t="n">
        <v>143.7408</v>
      </c>
      <c r="L66" s="66" t="n">
        <v>143.7408</v>
      </c>
      <c r="M66" s="67" t="n">
        <v>19.81852474417157</v>
      </c>
      <c r="N66" s="68" t="inlineStr">
        <is>
          <t>MATCH</t>
        </is>
      </c>
      <c r="O66" s="64" t="inlineStr"/>
      <c r="P66" s="66" t="n">
        <v>172.3353260869565</v>
      </c>
      <c r="Q66" s="66" t="n">
        <v>158.5485</v>
      </c>
      <c r="R66" s="69" t="n">
        <v>0.9066046036386344</v>
      </c>
    </row>
    <row r="67">
      <c r="A67" s="64" t="n">
        <v>4</v>
      </c>
      <c r="B67" s="64" t="n">
        <v>2</v>
      </c>
      <c r="C67" s="64" t="inlineStr">
        <is>
          <t>R&amp;I COOLING PACKAGE</t>
        </is>
      </c>
      <c r="D67" s="64" t="inlineStr">
        <is>
          <t>07260-28722</t>
        </is>
      </c>
      <c r="E67" s="64" t="inlineStr">
        <is>
          <t>HOSE</t>
        </is>
      </c>
      <c r="F67" s="65" t="n">
        <v>4</v>
      </c>
      <c r="G67" s="66" t="n">
        <v>228.37</v>
      </c>
      <c r="H67" s="66" t="n">
        <v>913.48</v>
      </c>
      <c r="I67" s="66" t="n">
        <v>181.1324244762772</v>
      </c>
      <c r="J67" s="66" t="n">
        <v>724.5296979051086</v>
      </c>
      <c r="K67" s="66" t="n">
        <v>210.1004</v>
      </c>
      <c r="L67" s="66" t="n">
        <v>840.4016</v>
      </c>
      <c r="M67" s="67" t="n">
        <v>115.8719020948914</v>
      </c>
      <c r="N67" s="68" t="inlineStr">
        <is>
          <t>MATCH</t>
        </is>
      </c>
      <c r="O67" s="64" t="inlineStr"/>
      <c r="P67" s="66" t="n">
        <v>259.4445652173913</v>
      </c>
      <c r="Q67" s="66" t="n">
        <v>238.689</v>
      </c>
      <c r="R67" s="69" t="n">
        <v>0.8802265709772968</v>
      </c>
    </row>
    <row r="68">
      <c r="A68" s="64" t="n">
        <v>4</v>
      </c>
      <c r="B68" s="64" t="n">
        <v>2</v>
      </c>
      <c r="C68" s="64" t="inlineStr">
        <is>
          <t>R&amp;I COOLING PACKAGE</t>
        </is>
      </c>
      <c r="D68" s="64" t="inlineStr">
        <is>
          <t>07281-00197</t>
        </is>
      </c>
      <c r="E68" s="64" t="inlineStr">
        <is>
          <t>CLAMP P60</t>
        </is>
      </c>
      <c r="F68" s="65" t="n">
        <v>12</v>
      </c>
      <c r="G68" s="66" t="n">
        <v>2.1</v>
      </c>
      <c r="H68" s="66" t="n">
        <v>25.2</v>
      </c>
      <c r="I68" s="66" t="n">
        <v>1.665621979245006</v>
      </c>
      <c r="J68" s="66" t="n">
        <v>19.98746375094007</v>
      </c>
      <c r="K68" s="66" t="n">
        <v>1.932</v>
      </c>
      <c r="L68" s="66" t="n">
        <v>23.184</v>
      </c>
      <c r="M68" s="67" t="n">
        <v>3.196536249059932</v>
      </c>
      <c r="N68" s="68" t="inlineStr">
        <is>
          <t>MATCH</t>
        </is>
      </c>
      <c r="O68" s="64" t="inlineStr"/>
      <c r="P68" s="66" t="n">
        <v>2.313586956521739</v>
      </c>
      <c r="Q68" s="66" t="n">
        <v>2.1285</v>
      </c>
      <c r="R68" s="69" t="n">
        <v>0.9076814658210007</v>
      </c>
    </row>
    <row r="69">
      <c r="A69" s="64" t="n">
        <v>4</v>
      </c>
      <c r="B69" s="64" t="n">
        <v>2</v>
      </c>
      <c r="C69" s="64" t="inlineStr">
        <is>
          <t>R&amp;I COOLING PACKAGE</t>
        </is>
      </c>
      <c r="D69" s="64" t="inlineStr">
        <is>
          <t>07281-00289</t>
        </is>
      </c>
      <c r="E69" s="64" t="inlineStr">
        <is>
          <t>CLAMP</t>
        </is>
      </c>
      <c r="F69" s="65" t="n">
        <v>2</v>
      </c>
      <c r="G69" s="66" t="n">
        <v>2.61</v>
      </c>
      <c r="H69" s="66" t="n">
        <v>5.22</v>
      </c>
      <c r="I69" s="66" t="n">
        <v>2.070130174204507</v>
      </c>
      <c r="J69" s="66" t="n">
        <v>4.140260348409014</v>
      </c>
      <c r="K69" s="66" t="n">
        <v>2.4012</v>
      </c>
      <c r="L69" s="66" t="n">
        <v>4.8024</v>
      </c>
      <c r="M69" s="67" t="n">
        <v>0.6621396515909854</v>
      </c>
      <c r="N69" s="68" t="inlineStr">
        <is>
          <t>MATCH</t>
        </is>
      </c>
      <c r="O69" s="64" t="inlineStr"/>
      <c r="P69" s="66" t="n">
        <v>3.109891304347826</v>
      </c>
      <c r="Q69" s="66" t="n">
        <v>2.8611</v>
      </c>
      <c r="R69" s="69" t="n">
        <v>0.8392576281849639</v>
      </c>
    </row>
    <row r="70">
      <c r="A70" s="64" t="n">
        <v>4</v>
      </c>
      <c r="B70" s="64" t="n">
        <v>2</v>
      </c>
      <c r="C70" s="64" t="inlineStr">
        <is>
          <t>R&amp;I COOLING PACKAGE</t>
        </is>
      </c>
      <c r="D70" s="64" t="inlineStr">
        <is>
          <t>07289-00035</t>
        </is>
      </c>
      <c r="E70" s="64" t="inlineStr">
        <is>
          <t>CLAMP</t>
        </is>
      </c>
      <c r="F70" s="65" t="n">
        <v>6</v>
      </c>
      <c r="G70" s="66" t="n">
        <v>7.79</v>
      </c>
      <c r="H70" s="66" t="n">
        <v>46.74</v>
      </c>
      <c r="I70" s="66" t="n">
        <v>6.178664389675522</v>
      </c>
      <c r="J70" s="66" t="n">
        <v>37.07198633805313</v>
      </c>
      <c r="K70" s="66" t="n">
        <v>7.1668</v>
      </c>
      <c r="L70" s="66" t="n">
        <v>43.00080000000001</v>
      </c>
      <c r="M70" s="67" t="n">
        <v>5.928813661946876</v>
      </c>
      <c r="N70" s="68" t="inlineStr">
        <is>
          <t>MATCH</t>
        </is>
      </c>
      <c r="O70" s="64" t="inlineStr"/>
      <c r="P70" s="66" t="n">
        <v>8.587173913043479</v>
      </c>
      <c r="Q70" s="66" t="n">
        <v>7.900200000000001</v>
      </c>
      <c r="R70" s="69" t="n">
        <v>0.9071669071669071</v>
      </c>
    </row>
    <row r="71">
      <c r="A71" s="64" t="n">
        <v>4</v>
      </c>
      <c r="B71" s="64" t="n">
        <v>2</v>
      </c>
      <c r="C71" s="64" t="inlineStr">
        <is>
          <t>R&amp;I COOLING PACKAGE</t>
        </is>
      </c>
      <c r="D71" s="64" t="inlineStr">
        <is>
          <t>07299-00070</t>
        </is>
      </c>
      <c r="E71" s="64" t="inlineStr">
        <is>
          <t>CLAMP</t>
        </is>
      </c>
      <c r="F71" s="65" t="n">
        <v>12</v>
      </c>
      <c r="G71" s="66" t="n">
        <v>14.99</v>
      </c>
      <c r="H71" s="66" t="n">
        <v>179.88</v>
      </c>
      <c r="I71" s="66" t="n">
        <v>11.88936831851554</v>
      </c>
      <c r="J71" s="66" t="n">
        <v>142.6724198221865</v>
      </c>
      <c r="K71" s="66" t="n">
        <v>13.7908</v>
      </c>
      <c r="L71" s="66" t="n">
        <v>165.4896</v>
      </c>
      <c r="M71" s="67" t="n">
        <v>22.8171801778135</v>
      </c>
      <c r="N71" s="68" t="inlineStr">
        <is>
          <t>MATCH</t>
        </is>
      </c>
      <c r="O71" s="64" t="inlineStr"/>
      <c r="P71" s="66" t="n">
        <v>16.52869565217391</v>
      </c>
      <c r="Q71" s="66" t="n">
        <v>15.2064</v>
      </c>
      <c r="R71" s="69" t="n">
        <v>0.9069076178451179</v>
      </c>
    </row>
    <row r="72">
      <c r="A72" s="64" t="n">
        <v>4</v>
      </c>
      <c r="B72" s="64" t="n">
        <v>2</v>
      </c>
      <c r="C72" s="64" t="inlineStr">
        <is>
          <t>R&amp;I COOLING PACKAGE</t>
        </is>
      </c>
      <c r="D72" s="64" t="inlineStr">
        <is>
          <t>07299-00095</t>
        </is>
      </c>
      <c r="E72" s="64" t="inlineStr">
        <is>
          <t>CLAMP</t>
        </is>
      </c>
      <c r="F72" s="65" t="n">
        <v>8</v>
      </c>
      <c r="G72" s="66" t="n">
        <v>28.16</v>
      </c>
      <c r="H72" s="66" t="n">
        <v>225.28</v>
      </c>
      <c r="I72" s="66" t="n">
        <v>22.33519758835208</v>
      </c>
      <c r="J72" s="66" t="n">
        <v>178.6815807068166</v>
      </c>
      <c r="K72" s="66" t="n">
        <v>25.9072</v>
      </c>
      <c r="L72" s="66" t="n">
        <v>207.2576</v>
      </c>
      <c r="M72" s="67" t="n">
        <v>28.57601929318338</v>
      </c>
      <c r="N72" s="68" t="inlineStr">
        <is>
          <t>MATCH</t>
        </is>
      </c>
      <c r="O72" s="64" t="inlineStr"/>
      <c r="P72" s="66" t="n">
        <v>31.05586956521739</v>
      </c>
      <c r="Q72" s="66" t="n">
        <v>28.5714</v>
      </c>
      <c r="R72" s="69" t="n">
        <v>0.9067529067529069</v>
      </c>
    </row>
    <row r="73">
      <c r="A73" s="64" t="n">
        <v>4</v>
      </c>
      <c r="B73" s="64" t="n">
        <v>2</v>
      </c>
      <c r="C73" s="64" t="inlineStr">
        <is>
          <t>R&amp;I COOLING PACKAGE</t>
        </is>
      </c>
      <c r="D73" s="64" t="inlineStr">
        <is>
          <t>421-03-21210</t>
        </is>
      </c>
      <c r="E73" s="64" t="inlineStr">
        <is>
          <t>CAP,RADIATOR</t>
        </is>
      </c>
      <c r="F73" s="65" t="n">
        <v>1</v>
      </c>
      <c r="G73" s="66" t="n">
        <v>139.16</v>
      </c>
      <c r="H73" s="66" t="n">
        <v>139.16</v>
      </c>
      <c r="I73" s="66" t="n">
        <v>110.3752164913024</v>
      </c>
      <c r="J73" s="66" t="n">
        <v>110.3752164913024</v>
      </c>
      <c r="K73" s="66" t="n">
        <v>128.0272</v>
      </c>
      <c r="L73" s="66" t="n">
        <v>128.0272</v>
      </c>
      <c r="M73" s="67" t="n">
        <v>17.65198350869761</v>
      </c>
      <c r="N73" s="68" t="inlineStr">
        <is>
          <t>MATCH</t>
        </is>
      </c>
      <c r="O73" s="64" t="inlineStr"/>
      <c r="P73" s="66" t="n">
        <v>153.4822826086956</v>
      </c>
      <c r="Q73" s="66" t="n">
        <v>141.2037</v>
      </c>
      <c r="R73" s="69" t="n">
        <v>0.9066844565687727</v>
      </c>
    </row>
    <row r="74">
      <c r="A74" s="64" t="n">
        <v>4</v>
      </c>
      <c r="B74" s="64" t="n">
        <v>2</v>
      </c>
      <c r="C74" s="64" t="inlineStr">
        <is>
          <t>R&amp;I COOLING PACKAGE</t>
        </is>
      </c>
      <c r="D74" s="64" t="inlineStr">
        <is>
          <t>421-64-23120</t>
        </is>
      </c>
      <c r="E74" s="64" t="inlineStr">
        <is>
          <t>CUSHION</t>
        </is>
      </c>
      <c r="F74" s="65" t="n">
        <v>8</v>
      </c>
      <c r="G74" s="66" t="n">
        <v>6.66</v>
      </c>
      <c r="H74" s="66" t="n">
        <v>53.28</v>
      </c>
      <c r="I74" s="66" t="n">
        <v>5.282401134177019</v>
      </c>
      <c r="J74" s="66" t="n">
        <v>42.25920907341615</v>
      </c>
      <c r="K74" s="66" t="n">
        <v>6.1272</v>
      </c>
      <c r="L74" s="66" t="n">
        <v>49.0176</v>
      </c>
      <c r="M74" s="67" t="n">
        <v>6.75839092658385</v>
      </c>
      <c r="N74" s="68" t="inlineStr">
        <is>
          <t>MATCH</t>
        </is>
      </c>
      <c r="O74" s="64" t="inlineStr"/>
      <c r="P74" s="66" t="n">
        <v>7.349673913043478</v>
      </c>
      <c r="Q74" s="66" t="n">
        <v>6.7617</v>
      </c>
      <c r="R74" s="69" t="n">
        <v>0.9061626514042327</v>
      </c>
    </row>
    <row r="75">
      <c r="A75" s="64" t="n">
        <v>4</v>
      </c>
      <c r="B75" s="64" t="n">
        <v>2</v>
      </c>
      <c r="C75" s="64" t="inlineStr">
        <is>
          <t>R&amp;I COOLING PACKAGE</t>
        </is>
      </c>
      <c r="D75" s="64" t="inlineStr">
        <is>
          <t>421-64-23130</t>
        </is>
      </c>
      <c r="E75" s="64" t="inlineStr">
        <is>
          <t>CUSHION</t>
        </is>
      </c>
      <c r="F75" s="65" t="n">
        <v>4</v>
      </c>
      <c r="G75" s="66" t="n">
        <v>4.93</v>
      </c>
      <c r="H75" s="66" t="n">
        <v>19.72</v>
      </c>
      <c r="I75" s="66" t="n">
        <v>3.910245884608513</v>
      </c>
      <c r="J75" s="66" t="n">
        <v>15.64098353843405</v>
      </c>
      <c r="K75" s="66" t="n">
        <v>4.5356</v>
      </c>
      <c r="L75" s="66" t="n">
        <v>18.1424</v>
      </c>
      <c r="M75" s="67" t="n">
        <v>2.501416461565945</v>
      </c>
      <c r="N75" s="68" t="inlineStr">
        <is>
          <t>MATCH</t>
        </is>
      </c>
      <c r="O75" s="64" t="inlineStr"/>
      <c r="P75" s="66" t="n">
        <v>5.434239130434782</v>
      </c>
      <c r="Q75" s="66" t="n">
        <v>4.999499999999999</v>
      </c>
      <c r="R75" s="69" t="n">
        <v>0.9072107210721073</v>
      </c>
    </row>
    <row r="76">
      <c r="A76" s="64" t="n">
        <v>4</v>
      </c>
      <c r="B76" s="64" t="n">
        <v>2</v>
      </c>
      <c r="C76" s="64" t="inlineStr">
        <is>
          <t>R&amp;I COOLING PACKAGE</t>
        </is>
      </c>
      <c r="D76" s="64" t="inlineStr">
        <is>
          <t>427-03-11430</t>
        </is>
      </c>
      <c r="E76" s="64" t="inlineStr">
        <is>
          <t>HOSE</t>
        </is>
      </c>
      <c r="F76" s="65" t="n">
        <v>2</v>
      </c>
      <c r="G76" s="66" t="n">
        <v>170.96</v>
      </c>
      <c r="H76" s="66" t="n">
        <v>341.92</v>
      </c>
      <c r="I76" s="66" t="n">
        <v>135.5974921770125</v>
      </c>
      <c r="J76" s="66" t="n">
        <v>271.1949843540249</v>
      </c>
      <c r="K76" s="66" t="n">
        <v>157.2832</v>
      </c>
      <c r="L76" s="66" t="n">
        <v>314.5664</v>
      </c>
      <c r="M76" s="67" t="n">
        <v>43.37141564597511</v>
      </c>
      <c r="N76" s="68" t="inlineStr">
        <is>
          <t>MATCH</t>
        </is>
      </c>
      <c r="O76" s="64" t="inlineStr"/>
      <c r="P76" s="66" t="n">
        <v>203.9615217391304</v>
      </c>
      <c r="Q76" s="66" t="n">
        <v>187.6446</v>
      </c>
      <c r="R76" s="69" t="n">
        <v>0.8381973155635708</v>
      </c>
    </row>
    <row r="77">
      <c r="A77" s="64" t="n">
        <v>4</v>
      </c>
      <c r="B77" s="64" t="n">
        <v>2</v>
      </c>
      <c r="C77" s="64" t="inlineStr">
        <is>
          <t>R&amp;I COOLING PACKAGE</t>
        </is>
      </c>
      <c r="D77" s="64" t="inlineStr">
        <is>
          <t>427-03-12530</t>
        </is>
      </c>
      <c r="E77" s="64" t="inlineStr">
        <is>
          <t>GASKET</t>
        </is>
      </c>
      <c r="F77" s="65" t="n">
        <v>1</v>
      </c>
      <c r="G77" s="66" t="n">
        <v>6</v>
      </c>
      <c r="H77" s="66" t="n">
        <v>6</v>
      </c>
      <c r="I77" s="66" t="n">
        <v>4.758919940700016</v>
      </c>
      <c r="J77" s="66" t="n">
        <v>4.758919940700016</v>
      </c>
      <c r="K77" s="66" t="n">
        <v>5.52</v>
      </c>
      <c r="L77" s="66" t="n">
        <v>5.52</v>
      </c>
      <c r="M77" s="67" t="n">
        <v>0.7610800592999842</v>
      </c>
      <c r="N77" s="68" t="inlineStr">
        <is>
          <t>MATCH</t>
        </is>
      </c>
      <c r="O77" s="64" t="inlineStr"/>
      <c r="P77" s="66" t="n">
        <v>7.155978260869565</v>
      </c>
      <c r="Q77" s="66" t="n">
        <v>6.5835</v>
      </c>
      <c r="R77" s="69" t="n">
        <v>0.8384597858282069</v>
      </c>
    </row>
    <row r="78">
      <c r="A78" s="64" t="n">
        <v>4</v>
      </c>
      <c r="B78" s="64" t="n">
        <v>2</v>
      </c>
      <c r="C78" s="64" t="inlineStr">
        <is>
          <t>R&amp;I COOLING PACKAGE</t>
        </is>
      </c>
      <c r="D78" s="64" t="inlineStr">
        <is>
          <t>427-03-22150</t>
        </is>
      </c>
      <c r="E78" s="64" t="inlineStr">
        <is>
          <t>PACKING</t>
        </is>
      </c>
      <c r="F78" s="65" t="n">
        <v>2</v>
      </c>
      <c r="G78" s="66" t="n">
        <v>18.67</v>
      </c>
      <c r="H78" s="66" t="n">
        <v>37.34</v>
      </c>
      <c r="I78" s="66" t="n">
        <v>14.80817254881155</v>
      </c>
      <c r="J78" s="66" t="n">
        <v>29.61634509762311</v>
      </c>
      <c r="K78" s="66" t="n">
        <v>17.1764</v>
      </c>
      <c r="L78" s="66" t="n">
        <v>34.3528</v>
      </c>
      <c r="M78" s="67" t="n">
        <v>4.736454902376895</v>
      </c>
      <c r="N78" s="68" t="inlineStr">
        <is>
          <t>MATCH</t>
        </is>
      </c>
      <c r="O78" s="64" t="inlineStr"/>
      <c r="P78" s="66" t="n">
        <v>22.26423913043478</v>
      </c>
      <c r="Q78" s="66" t="n">
        <v>20.4831</v>
      </c>
      <c r="R78" s="69" t="n">
        <v>0.8385644751038662</v>
      </c>
    </row>
    <row r="79">
      <c r="A79" s="64" t="n">
        <v>4</v>
      </c>
      <c r="B79" s="64" t="n">
        <v>2</v>
      </c>
      <c r="C79" s="64" t="inlineStr">
        <is>
          <t>R&amp;I COOLING PACKAGE</t>
        </is>
      </c>
      <c r="D79" s="64" t="inlineStr">
        <is>
          <t>427-03-22160</t>
        </is>
      </c>
      <c r="E79" s="64" t="inlineStr">
        <is>
          <t>PACKING</t>
        </is>
      </c>
      <c r="F79" s="65" t="n">
        <v>2</v>
      </c>
      <c r="G79" s="66" t="n">
        <v>22.9</v>
      </c>
      <c r="H79" s="66" t="n">
        <v>45.8</v>
      </c>
      <c r="I79" s="66" t="n">
        <v>18.16321110700506</v>
      </c>
      <c r="J79" s="66" t="n">
        <v>36.32642221401012</v>
      </c>
      <c r="K79" s="66" t="n">
        <v>21.068</v>
      </c>
      <c r="L79" s="66" t="n">
        <v>42.136</v>
      </c>
      <c r="M79" s="67" t="n">
        <v>5.809577785989873</v>
      </c>
      <c r="N79" s="68" t="inlineStr">
        <is>
          <t>MATCH</t>
        </is>
      </c>
      <c r="O79" s="64" t="inlineStr"/>
      <c r="P79" s="66" t="n">
        <v>27.31108695652173</v>
      </c>
      <c r="Q79" s="66" t="n">
        <v>25.1262</v>
      </c>
      <c r="R79" s="69" t="n">
        <v>0.8384873160286873</v>
      </c>
    </row>
    <row r="80">
      <c r="A80" s="64" t="n">
        <v>4</v>
      </c>
      <c r="B80" s="64" t="n">
        <v>2</v>
      </c>
      <c r="C80" s="64" t="inlineStr">
        <is>
          <t>R&amp;I COOLING PACKAGE</t>
        </is>
      </c>
      <c r="D80" s="64" t="inlineStr">
        <is>
          <t>427-03-22170</t>
        </is>
      </c>
      <c r="E80" s="64" t="inlineStr">
        <is>
          <t>PACKING</t>
        </is>
      </c>
      <c r="F80" s="65" t="n">
        <v>2</v>
      </c>
      <c r="G80" s="66" t="n">
        <v>15.49</v>
      </c>
      <c r="H80" s="66" t="n">
        <v>30.98</v>
      </c>
      <c r="I80" s="66" t="n">
        <v>12.28594498024054</v>
      </c>
      <c r="J80" s="66" t="n">
        <v>24.57188996048109</v>
      </c>
      <c r="K80" s="66" t="n">
        <v>14.2508</v>
      </c>
      <c r="L80" s="66" t="n">
        <v>28.5016</v>
      </c>
      <c r="M80" s="67" t="n">
        <v>3.929710039518916</v>
      </c>
      <c r="N80" s="68" t="inlineStr">
        <is>
          <t>MATCH</t>
        </is>
      </c>
      <c r="O80" s="64" t="inlineStr"/>
      <c r="P80" s="66" t="n">
        <v>18.48717391304348</v>
      </c>
      <c r="Q80" s="66" t="n">
        <v>17.0082</v>
      </c>
      <c r="R80" s="69" t="n">
        <v>0.837878199927094</v>
      </c>
    </row>
    <row r="81">
      <c r="A81" s="64" t="n">
        <v>4</v>
      </c>
      <c r="B81" s="64" t="n">
        <v>2</v>
      </c>
      <c r="C81" s="64" t="inlineStr">
        <is>
          <t>R&amp;I COOLING PACKAGE</t>
        </is>
      </c>
      <c r="D81" s="64" t="inlineStr">
        <is>
          <t>427-03-22890</t>
        </is>
      </c>
      <c r="E81" s="64" t="inlineStr">
        <is>
          <t>PACKING</t>
        </is>
      </c>
      <c r="F81" s="65" t="n">
        <v>4</v>
      </c>
      <c r="G81" s="66" t="n">
        <v>24.52</v>
      </c>
      <c r="H81" s="66" t="n">
        <v>98.08</v>
      </c>
      <c r="I81" s="66" t="n">
        <v>19.44811949099407</v>
      </c>
      <c r="J81" s="66" t="n">
        <v>77.79247796397627</v>
      </c>
      <c r="K81" s="66" t="n">
        <v>22.5584</v>
      </c>
      <c r="L81" s="66" t="n">
        <v>90.2336</v>
      </c>
      <c r="M81" s="67" t="n">
        <v>12.44112203602373</v>
      </c>
      <c r="N81" s="68" t="inlineStr">
        <is>
          <t>MATCH</t>
        </is>
      </c>
      <c r="O81" s="64" t="inlineStr"/>
      <c r="P81" s="66" t="n">
        <v>29.24804347826087</v>
      </c>
      <c r="Q81" s="66" t="n">
        <v>26.9082</v>
      </c>
      <c r="R81" s="69" t="n">
        <v>0.8383466749912666</v>
      </c>
    </row>
    <row r="82">
      <c r="A82" s="64" t="n">
        <v>4</v>
      </c>
      <c r="B82" s="64" t="n">
        <v>2</v>
      </c>
      <c r="C82" s="64" t="inlineStr">
        <is>
          <t>R&amp;I COOLING PACKAGE</t>
        </is>
      </c>
      <c r="D82" s="64" t="inlineStr">
        <is>
          <t>427-03-23250</t>
        </is>
      </c>
      <c r="E82" s="64" t="inlineStr">
        <is>
          <t>HOSE</t>
        </is>
      </c>
      <c r="F82" s="65" t="n">
        <v>1</v>
      </c>
      <c r="G82" s="66" t="n">
        <v>168.94</v>
      </c>
      <c r="H82" s="66" t="n">
        <v>168.94</v>
      </c>
      <c r="I82" s="66" t="n">
        <v>133.9953224636435</v>
      </c>
      <c r="J82" s="66" t="n">
        <v>133.9953224636435</v>
      </c>
      <c r="K82" s="66" t="n">
        <v>155.4248</v>
      </c>
      <c r="L82" s="66" t="n">
        <v>155.4248</v>
      </c>
      <c r="M82" s="67" t="n">
        <v>21.42947753635653</v>
      </c>
      <c r="N82" s="68" t="inlineStr">
        <is>
          <t>MATCH</t>
        </is>
      </c>
      <c r="O82" s="64" t="inlineStr"/>
      <c r="P82" s="66" t="n">
        <v>199.6033695652174</v>
      </c>
      <c r="Q82" s="66" t="n">
        <v>183.6351</v>
      </c>
      <c r="R82" s="69" t="n">
        <v>0.8463784973569868</v>
      </c>
    </row>
    <row r="83">
      <c r="A83" s="64" t="n">
        <v>4</v>
      </c>
      <c r="B83" s="64" t="n">
        <v>2</v>
      </c>
      <c r="C83" s="64" t="inlineStr">
        <is>
          <t>R&amp;I COOLING PACKAGE</t>
        </is>
      </c>
      <c r="D83" s="64" t="inlineStr">
        <is>
          <t>427-03-32170</t>
        </is>
      </c>
      <c r="E83" s="64" t="inlineStr">
        <is>
          <t>SEAL</t>
        </is>
      </c>
      <c r="F83" s="65" t="n">
        <v>2</v>
      </c>
      <c r="G83" s="66" t="n">
        <v>14.25</v>
      </c>
      <c r="H83" s="66" t="n">
        <v>28.5</v>
      </c>
      <c r="I83" s="66" t="n">
        <v>11.30243485916254</v>
      </c>
      <c r="J83" s="66" t="n">
        <v>22.60486971832508</v>
      </c>
      <c r="K83" s="66" t="n">
        <v>13.11</v>
      </c>
      <c r="L83" s="66" t="n">
        <v>26.22</v>
      </c>
      <c r="M83" s="67" t="n">
        <v>3.615130281674922</v>
      </c>
      <c r="N83" s="68" t="inlineStr">
        <is>
          <t>MATCH</t>
        </is>
      </c>
      <c r="O83" s="64" t="inlineStr"/>
      <c r="P83" s="66" t="n">
        <v>17.00217391304348</v>
      </c>
      <c r="Q83" s="66" t="n">
        <v>15.642</v>
      </c>
      <c r="R83" s="69" t="n">
        <v>0.8381281166091292</v>
      </c>
    </row>
    <row r="84">
      <c r="A84" s="64" t="n">
        <v>4</v>
      </c>
      <c r="B84" s="64" t="n">
        <v>2</v>
      </c>
      <c r="C84" s="64" t="inlineStr">
        <is>
          <t>R&amp;I COOLING PACKAGE</t>
        </is>
      </c>
      <c r="D84" s="64" t="inlineStr">
        <is>
          <t>427-03-32180</t>
        </is>
      </c>
      <c r="E84" s="64" t="inlineStr">
        <is>
          <t>SEAL</t>
        </is>
      </c>
      <c r="F84" s="65" t="n">
        <v>2</v>
      </c>
      <c r="G84" s="66" t="n">
        <v>14.25</v>
      </c>
      <c r="H84" s="66" t="n">
        <v>28.5</v>
      </c>
      <c r="I84" s="66" t="n">
        <v>11.30243485916254</v>
      </c>
      <c r="J84" s="66" t="n">
        <v>22.60486971832508</v>
      </c>
      <c r="K84" s="66" t="n">
        <v>13.11</v>
      </c>
      <c r="L84" s="66" t="n">
        <v>26.22</v>
      </c>
      <c r="M84" s="67" t="n">
        <v>3.615130281674922</v>
      </c>
      <c r="N84" s="68" t="inlineStr">
        <is>
          <t>MATCH</t>
        </is>
      </c>
      <c r="O84" s="64" t="inlineStr"/>
      <c r="P84" s="66" t="n">
        <v>17.00217391304348</v>
      </c>
      <c r="Q84" s="66" t="n">
        <v>15.642</v>
      </c>
      <c r="R84" s="69" t="n">
        <v>0.8381281166091292</v>
      </c>
    </row>
    <row r="85">
      <c r="A85" s="64" t="n">
        <v>4</v>
      </c>
      <c r="B85" s="64" t="n">
        <v>2</v>
      </c>
      <c r="C85" s="64" t="inlineStr">
        <is>
          <t>R&amp;I COOLING PACKAGE</t>
        </is>
      </c>
      <c r="D85" s="64" t="inlineStr">
        <is>
          <t>427-03-32190</t>
        </is>
      </c>
      <c r="E85" s="64" t="inlineStr">
        <is>
          <t>SEAL</t>
        </is>
      </c>
      <c r="F85" s="65" t="n">
        <v>2</v>
      </c>
      <c r="G85" s="66" t="n">
        <v>10.91</v>
      </c>
      <c r="H85" s="66" t="n">
        <v>21.82</v>
      </c>
      <c r="I85" s="66" t="n">
        <v>8.65330275883953</v>
      </c>
      <c r="J85" s="66" t="n">
        <v>17.30660551767906</v>
      </c>
      <c r="K85" s="66" t="n">
        <v>10.0372</v>
      </c>
      <c r="L85" s="66" t="n">
        <v>20.0744</v>
      </c>
      <c r="M85" s="67" t="n">
        <v>2.767794482320941</v>
      </c>
      <c r="N85" s="68" t="inlineStr">
        <is>
          <t>MATCH</t>
        </is>
      </c>
      <c r="O85" s="64" t="inlineStr"/>
      <c r="P85" s="66" t="n">
        <v>13.00989130434782</v>
      </c>
      <c r="Q85" s="66" t="n">
        <v>11.9691</v>
      </c>
      <c r="R85" s="69" t="n">
        <v>0.8385927095604516</v>
      </c>
    </row>
    <row r="86">
      <c r="A86" s="64" t="n">
        <v>4</v>
      </c>
      <c r="B86" s="64" t="n">
        <v>2</v>
      </c>
      <c r="C86" s="64" t="inlineStr">
        <is>
          <t>R&amp;I COOLING PACKAGE</t>
        </is>
      </c>
      <c r="D86" s="64" t="inlineStr">
        <is>
          <t>427-03-32210</t>
        </is>
      </c>
      <c r="E86" s="64" t="inlineStr">
        <is>
          <t>SEAL</t>
        </is>
      </c>
      <c r="F86" s="65" t="n">
        <v>1</v>
      </c>
      <c r="G86" s="66" t="n">
        <v>108.6</v>
      </c>
      <c r="H86" s="66" t="n">
        <v>108.6</v>
      </c>
      <c r="I86" s="66" t="n">
        <v>86.13645092667029</v>
      </c>
      <c r="J86" s="66" t="n">
        <v>86.13645092667029</v>
      </c>
      <c r="K86" s="66" t="n">
        <v>99.91200000000001</v>
      </c>
      <c r="L86" s="66" t="n">
        <v>99.91200000000001</v>
      </c>
      <c r="M86" s="67" t="n">
        <v>13.77554907332971</v>
      </c>
      <c r="N86" s="68" t="inlineStr">
        <is>
          <t>MATCH</t>
        </is>
      </c>
      <c r="O86" s="64" t="inlineStr"/>
      <c r="P86" s="66" t="n">
        <v>129.5716304347826</v>
      </c>
      <c r="Q86" s="66" t="n">
        <v>119.2059</v>
      </c>
      <c r="R86" s="69" t="n">
        <v>0.8381464340271748</v>
      </c>
    </row>
    <row r="87">
      <c r="A87" s="64" t="n">
        <v>4</v>
      </c>
      <c r="B87" s="64" t="n">
        <v>2</v>
      </c>
      <c r="C87" s="64" t="inlineStr">
        <is>
          <t>R&amp;I COOLING PACKAGE</t>
        </is>
      </c>
      <c r="D87" s="64" t="inlineStr">
        <is>
          <t>427-03-32240</t>
        </is>
      </c>
      <c r="E87" s="64" t="inlineStr">
        <is>
          <t>SEAL</t>
        </is>
      </c>
      <c r="F87" s="65" t="n">
        <v>4</v>
      </c>
      <c r="G87" s="66" t="n">
        <v>14.25</v>
      </c>
      <c r="H87" s="66" t="n">
        <v>57</v>
      </c>
      <c r="I87" s="66" t="n">
        <v>11.30243485916254</v>
      </c>
      <c r="J87" s="66" t="n">
        <v>45.20973943665016</v>
      </c>
      <c r="K87" s="66" t="n">
        <v>13.11</v>
      </c>
      <c r="L87" s="66" t="n">
        <v>52.44</v>
      </c>
      <c r="M87" s="67" t="n">
        <v>7.230260563349844</v>
      </c>
      <c r="N87" s="68" t="inlineStr">
        <is>
          <t>MATCH</t>
        </is>
      </c>
      <c r="O87" s="64" t="inlineStr"/>
      <c r="P87" s="66" t="n">
        <v>17.00217391304348</v>
      </c>
      <c r="Q87" s="66" t="n">
        <v>15.642</v>
      </c>
      <c r="R87" s="69" t="n">
        <v>0.8381281166091292</v>
      </c>
    </row>
    <row r="88">
      <c r="A88" s="64" t="n">
        <v>4</v>
      </c>
      <c r="B88" s="64" t="n">
        <v>2</v>
      </c>
      <c r="C88" s="64" t="inlineStr">
        <is>
          <t>R&amp;I COOLING PACKAGE</t>
        </is>
      </c>
      <c r="D88" s="64" t="inlineStr">
        <is>
          <t>561-40-42620</t>
        </is>
      </c>
      <c r="E88" s="64" t="inlineStr">
        <is>
          <t>CUSHION</t>
        </is>
      </c>
      <c r="F88" s="65" t="n">
        <v>4</v>
      </c>
      <c r="G88" s="66" t="n">
        <v>10.36</v>
      </c>
      <c r="H88" s="66" t="n">
        <v>41.44</v>
      </c>
      <c r="I88" s="66" t="n">
        <v>8.217068430942028</v>
      </c>
      <c r="J88" s="66" t="n">
        <v>32.86827372376811</v>
      </c>
      <c r="K88" s="66" t="n">
        <v>9.5312</v>
      </c>
      <c r="L88" s="66" t="n">
        <v>38.1248</v>
      </c>
      <c r="M88" s="67" t="n">
        <v>5.256526276231888</v>
      </c>
      <c r="N88" s="68" t="inlineStr">
        <is>
          <t>MATCH</t>
        </is>
      </c>
      <c r="O88" s="64" t="inlineStr"/>
      <c r="P88" s="66" t="n">
        <v>12.36423913043478</v>
      </c>
      <c r="Q88" s="66" t="n">
        <v>11.3751</v>
      </c>
      <c r="R88" s="69" t="n">
        <v>0.8379003261509789</v>
      </c>
    </row>
    <row r="89">
      <c r="A89" s="64" t="n">
        <v>4</v>
      </c>
      <c r="B89" s="64" t="n">
        <v>2</v>
      </c>
      <c r="C89" s="64" t="inlineStr">
        <is>
          <t>R&amp;I COOLING PACKAGE</t>
        </is>
      </c>
      <c r="D89" s="64" t="inlineStr">
        <is>
          <t>566-02-6E141</t>
        </is>
      </c>
      <c r="E89" s="64" t="inlineStr">
        <is>
          <t>HOSE</t>
        </is>
      </c>
      <c r="F89" s="65" t="n">
        <v>9</v>
      </c>
      <c r="G89" s="66" t="n">
        <v>452.15</v>
      </c>
      <c r="H89" s="66" t="n">
        <v>4069.35</v>
      </c>
      <c r="I89" s="66" t="n">
        <v>358.6242751979187</v>
      </c>
      <c r="J89" s="66" t="n">
        <v>3227.618476781269</v>
      </c>
      <c r="K89" s="66" t="n">
        <v>415.978</v>
      </c>
      <c r="L89" s="66" t="n">
        <v>3743.802</v>
      </c>
      <c r="M89" s="67" t="n">
        <v>516.1835232187314</v>
      </c>
      <c r="N89" s="68" t="inlineStr">
        <is>
          <t>MATCH</t>
        </is>
      </c>
      <c r="O89" s="64" t="inlineStr"/>
      <c r="P89" s="66" t="n">
        <v>513.6808695652174</v>
      </c>
      <c r="Q89" s="66" t="n">
        <v>472.5864</v>
      </c>
      <c r="R89" s="69" t="n">
        <v>0.8802157658366807</v>
      </c>
    </row>
    <row r="90">
      <c r="A90" s="64" t="n">
        <v>4</v>
      </c>
      <c r="B90" s="64" t="n">
        <v>2</v>
      </c>
      <c r="C90" s="64" t="inlineStr">
        <is>
          <t>R&amp;I COOLING PACKAGE</t>
        </is>
      </c>
      <c r="D90" s="64" t="inlineStr">
        <is>
          <t>566-02-6E151</t>
        </is>
      </c>
      <c r="E90" s="64" t="inlineStr">
        <is>
          <t>ELBOW</t>
        </is>
      </c>
      <c r="F90" s="65" t="n">
        <v>1</v>
      </c>
      <c r="G90" s="66" t="n">
        <v>639.17</v>
      </c>
      <c r="H90" s="66" t="n">
        <v>639.17</v>
      </c>
      <c r="I90" s="66" t="n">
        <v>506.9598097495382</v>
      </c>
      <c r="J90" s="66" t="n">
        <v>506.9598097495382</v>
      </c>
      <c r="K90" s="66" t="n">
        <v>588.0364</v>
      </c>
      <c r="L90" s="66" t="n">
        <v>588.0364</v>
      </c>
      <c r="M90" s="67" t="n">
        <v>81.07659025046172</v>
      </c>
      <c r="N90" s="68" t="inlineStr">
        <is>
          <t>MATCH</t>
        </is>
      </c>
      <c r="O90" s="64" t="inlineStr"/>
      <c r="P90" s="66" t="n">
        <v>762.5582608695652</v>
      </c>
      <c r="Q90" s="66" t="n">
        <v>701.5536</v>
      </c>
      <c r="R90" s="69" t="n">
        <v>0.8381916934073177</v>
      </c>
    </row>
    <row r="91">
      <c r="A91" s="64" t="n">
        <v>4</v>
      </c>
      <c r="B91" s="64" t="n">
        <v>2</v>
      </c>
      <c r="C91" s="64" t="inlineStr">
        <is>
          <t>R&amp;I COOLING PACKAGE</t>
        </is>
      </c>
      <c r="D91" s="64" t="inlineStr">
        <is>
          <t>569-02-82180</t>
        </is>
      </c>
      <c r="E91" s="64" t="inlineStr">
        <is>
          <t>CLAMP</t>
        </is>
      </c>
      <c r="F91" s="65" t="n">
        <v>4</v>
      </c>
      <c r="G91" s="66" t="n">
        <v>8.69</v>
      </c>
      <c r="H91" s="66" t="n">
        <v>34.76</v>
      </c>
      <c r="I91" s="66" t="n">
        <v>6.892502380780524</v>
      </c>
      <c r="J91" s="66" t="n">
        <v>27.5700095231221</v>
      </c>
      <c r="K91" s="66" t="n">
        <v>7.9948</v>
      </c>
      <c r="L91" s="66" t="n">
        <v>31.9792</v>
      </c>
      <c r="M91" s="67" t="n">
        <v>4.409190476877903</v>
      </c>
      <c r="N91" s="68" t="inlineStr">
        <is>
          <t>MATCH</t>
        </is>
      </c>
      <c r="O91" s="64" t="inlineStr"/>
      <c r="P91" s="66" t="n">
        <v>10.66402173913044</v>
      </c>
      <c r="Q91" s="66" t="n">
        <v>9.8109</v>
      </c>
      <c r="R91" s="69" t="n">
        <v>0.8148895616100459</v>
      </c>
    </row>
    <row r="92">
      <c r="A92" s="64" t="n">
        <v>4</v>
      </c>
      <c r="B92" s="64" t="n">
        <v>2</v>
      </c>
      <c r="C92" s="64" t="inlineStr">
        <is>
          <t>R&amp;I COOLING PACKAGE</t>
        </is>
      </c>
      <c r="D92" s="64" t="inlineStr">
        <is>
          <t>569-02-82190</t>
        </is>
      </c>
      <c r="E92" s="64" t="inlineStr">
        <is>
          <t>CLAMP</t>
        </is>
      </c>
      <c r="F92" s="65" t="n">
        <v>56</v>
      </c>
      <c r="G92" s="66" t="n">
        <v>24.27</v>
      </c>
      <c r="H92" s="66" t="n">
        <v>1359.12</v>
      </c>
      <c r="I92" s="66" t="n">
        <v>19.24983116013157</v>
      </c>
      <c r="J92" s="66" t="n">
        <v>1077.990544967368</v>
      </c>
      <c r="K92" s="66" t="n">
        <v>22.3284</v>
      </c>
      <c r="L92" s="66" t="n">
        <v>1250.3904</v>
      </c>
      <c r="M92" s="67" t="n">
        <v>172.3998550326323</v>
      </c>
      <c r="N92" s="68" t="inlineStr">
        <is>
          <t>MATCH</t>
        </is>
      </c>
      <c r="O92" s="64" t="inlineStr"/>
      <c r="P92" s="66" t="n">
        <v>26.77304347826087</v>
      </c>
      <c r="Q92" s="66" t="n">
        <v>24.6312</v>
      </c>
      <c r="R92" s="69" t="n">
        <v>0.9065088180843809</v>
      </c>
    </row>
    <row r="93">
      <c r="A93" s="64" t="n">
        <v>4</v>
      </c>
      <c r="B93" s="64" t="n">
        <v>2</v>
      </c>
      <c r="C93" s="64" t="inlineStr">
        <is>
          <t>R&amp;I COOLING PACKAGE</t>
        </is>
      </c>
      <c r="D93" s="64" t="inlineStr">
        <is>
          <t>72299</t>
        </is>
      </c>
      <c r="E93" s="64" t="inlineStr">
        <is>
          <t>HOSE CLAMP MS6</t>
        </is>
      </c>
      <c r="F93" s="65" t="n">
        <v>15</v>
      </c>
      <c r="G93" s="66" t="n">
        <v>1.15</v>
      </c>
      <c r="H93" s="66" t="n">
        <v>17.25</v>
      </c>
      <c r="I93" s="66" t="n">
        <v>0.9121263219675031</v>
      </c>
      <c r="J93" s="66" t="n">
        <v>13.68189482951255</v>
      </c>
      <c r="K93" s="66" t="n">
        <v>1.058</v>
      </c>
      <c r="L93" s="66" t="n">
        <v>15.87</v>
      </c>
      <c r="M93" s="67" t="n">
        <v>2.188105170487454</v>
      </c>
      <c r="N93" s="63" t="inlineStr">
        <is>
          <t>NO MATCH</t>
        </is>
      </c>
      <c r="O93" s="64" t="inlineStr">
        <is>
          <t>Komatsu PN not in master file</t>
        </is>
      </c>
      <c r="P93" s="66" t="n"/>
      <c r="Q93" s="66" t="n"/>
      <c r="R93" s="69" t="n"/>
    </row>
    <row r="94">
      <c r="A94" s="13" t="n">
        <v>5</v>
      </c>
      <c r="B94" s="13" t="n">
        <v>3</v>
      </c>
      <c r="C94" s="13" t="inlineStr">
        <is>
          <t>R&amp;I TRANSMISSION</t>
        </is>
      </c>
      <c r="D94" s="13" t="inlineStr">
        <is>
          <t>07000-13035</t>
        </is>
      </c>
      <c r="E94" s="13" t="inlineStr">
        <is>
          <t>O-RING</t>
        </is>
      </c>
      <c r="F94" s="34" t="n">
        <v>12</v>
      </c>
      <c r="G94" s="14" t="n">
        <v>3.17</v>
      </c>
      <c r="H94" s="14" t="n">
        <v>38.04</v>
      </c>
      <c r="I94" s="14" t="n">
        <v>2.514296035336509</v>
      </c>
      <c r="J94" s="14" t="n">
        <v>30.1715524240381</v>
      </c>
      <c r="K94" s="14" t="n">
        <v>2.9164</v>
      </c>
      <c r="L94" s="14" t="n">
        <v>34.9968</v>
      </c>
      <c r="M94" s="61" t="n">
        <v>4.825247575961896</v>
      </c>
      <c r="N94" s="54" t="inlineStr">
        <is>
          <t>MATCH</t>
        </is>
      </c>
      <c r="O94" s="13" t="inlineStr"/>
      <c r="P94" s="14" t="n">
        <v>3.497282608695652</v>
      </c>
      <c r="Q94" s="14" t="n">
        <v>3.2175</v>
      </c>
      <c r="R94" s="62" t="n">
        <v>0.9064180264180265</v>
      </c>
    </row>
    <row r="95">
      <c r="A95" s="13" t="n">
        <v>5</v>
      </c>
      <c r="B95" s="13" t="n">
        <v>3</v>
      </c>
      <c r="C95" s="13" t="inlineStr">
        <is>
          <t>R&amp;I TRANSMISSION</t>
        </is>
      </c>
      <c r="D95" s="13" t="inlineStr">
        <is>
          <t>07000-73045</t>
        </is>
      </c>
      <c r="E95" s="13" t="inlineStr">
        <is>
          <t>O-RING</t>
        </is>
      </c>
      <c r="F95" s="34" t="n">
        <v>1</v>
      </c>
      <c r="G95" s="14" t="n">
        <v>7.22</v>
      </c>
      <c r="H95" s="14" t="n">
        <v>7.22</v>
      </c>
      <c r="I95" s="14" t="n">
        <v>5.72656699530902</v>
      </c>
      <c r="J95" s="14" t="n">
        <v>5.72656699530902</v>
      </c>
      <c r="K95" s="14" t="n">
        <v>6.6424</v>
      </c>
      <c r="L95" s="14" t="n">
        <v>6.6424</v>
      </c>
      <c r="M95" s="61" t="n">
        <v>0.9158330046909802</v>
      </c>
      <c r="N95" s="54" t="inlineStr">
        <is>
          <t>MATCH</t>
        </is>
      </c>
      <c r="O95" s="13" t="inlineStr"/>
      <c r="P95" s="14" t="n">
        <v>7.96304347826087</v>
      </c>
      <c r="Q95" s="14" t="n">
        <v>7.326000000000001</v>
      </c>
      <c r="R95" s="62" t="n">
        <v>0.9066885066885066</v>
      </c>
    </row>
    <row r="96">
      <c r="A96" s="13" t="n">
        <v>5</v>
      </c>
      <c r="B96" s="13" t="n">
        <v>3</v>
      </c>
      <c r="C96" s="13" t="inlineStr">
        <is>
          <t>R&amp;I TRANSMISSION</t>
        </is>
      </c>
      <c r="D96" s="13" t="inlineStr">
        <is>
          <t>07000-F2055</t>
        </is>
      </c>
      <c r="E96" s="13" t="inlineStr">
        <is>
          <t>O-RING P60</t>
        </is>
      </c>
      <c r="F96" s="34" t="n">
        <v>1</v>
      </c>
      <c r="G96" s="14" t="n">
        <v>14.73</v>
      </c>
      <c r="H96" s="14" t="n">
        <v>14.73</v>
      </c>
      <c r="I96" s="14" t="n">
        <v>11.68314845441854</v>
      </c>
      <c r="J96" s="14" t="n">
        <v>11.68314845441854</v>
      </c>
      <c r="K96" s="14" t="n">
        <v>13.5516</v>
      </c>
      <c r="L96" s="14" t="n">
        <v>13.5516</v>
      </c>
      <c r="M96" s="61" t="n">
        <v>1.868451545581459</v>
      </c>
      <c r="N96" s="54" t="inlineStr">
        <is>
          <t>MATCH</t>
        </is>
      </c>
      <c r="O96" s="13" t="inlineStr"/>
      <c r="P96" s="14" t="n">
        <v>16.24891304347826</v>
      </c>
      <c r="Q96" s="14" t="n">
        <v>14.949</v>
      </c>
      <c r="R96" s="62" t="n">
        <v>0.9065221753963476</v>
      </c>
    </row>
    <row r="97">
      <c r="A97" s="13" t="n">
        <v>5</v>
      </c>
      <c r="B97" s="13" t="n">
        <v>3</v>
      </c>
      <c r="C97" s="13" t="inlineStr">
        <is>
          <t>R&amp;I TRANSMISSION</t>
        </is>
      </c>
      <c r="D97" s="13" t="inlineStr">
        <is>
          <t>07000-F2060</t>
        </is>
      </c>
      <c r="E97" s="13" t="inlineStr">
        <is>
          <t>O-RING</t>
        </is>
      </c>
      <c r="F97" s="34" t="n">
        <v>3</v>
      </c>
      <c r="G97" s="14" t="n">
        <v>15.3</v>
      </c>
      <c r="H97" s="14" t="n">
        <v>45.9</v>
      </c>
      <c r="I97" s="14" t="n">
        <v>12.13524584878504</v>
      </c>
      <c r="J97" s="14" t="n">
        <v>36.40573754635513</v>
      </c>
      <c r="K97" s="14" t="n">
        <v>14.076</v>
      </c>
      <c r="L97" s="14" t="n">
        <v>42.228</v>
      </c>
      <c r="M97" s="61" t="n">
        <v>5.822262453644875</v>
      </c>
      <c r="N97" s="54" t="inlineStr">
        <is>
          <t>MATCH</t>
        </is>
      </c>
      <c r="O97" s="13" t="inlineStr"/>
      <c r="P97" s="14" t="n">
        <v>16.87304347826087</v>
      </c>
      <c r="Q97" s="14" t="n">
        <v>15.5232</v>
      </c>
      <c r="R97" s="62" t="n">
        <v>0.9067717996289426</v>
      </c>
    </row>
    <row r="98">
      <c r="A98" s="13" t="n">
        <v>5</v>
      </c>
      <c r="B98" s="13" t="n">
        <v>3</v>
      </c>
      <c r="C98" s="13" t="inlineStr">
        <is>
          <t>R&amp;I TRANSMISSION</t>
        </is>
      </c>
      <c r="D98" s="13" t="inlineStr">
        <is>
          <t>07000-F2070</t>
        </is>
      </c>
      <c r="E98" s="13" t="inlineStr">
        <is>
          <t>O-RING P60</t>
        </is>
      </c>
      <c r="F98" s="34" t="n">
        <v>1</v>
      </c>
      <c r="G98" s="14" t="n">
        <v>15.59</v>
      </c>
      <c r="H98" s="14" t="n">
        <v>15.59</v>
      </c>
      <c r="I98" s="14" t="n">
        <v>12.36526031258554</v>
      </c>
      <c r="J98" s="14" t="n">
        <v>12.36526031258554</v>
      </c>
      <c r="K98" s="14" t="n">
        <v>14.3428</v>
      </c>
      <c r="L98" s="14" t="n">
        <v>14.3428</v>
      </c>
      <c r="M98" s="61" t="n">
        <v>1.977539687414458</v>
      </c>
      <c r="N98" s="54" t="inlineStr">
        <is>
          <t>MATCH</t>
        </is>
      </c>
      <c r="O98" s="13" t="inlineStr"/>
      <c r="P98" s="14" t="n">
        <v>17.19586956521739</v>
      </c>
      <c r="Q98" s="14" t="n">
        <v>15.8202</v>
      </c>
      <c r="R98" s="62" t="n">
        <v>0.9066130643101858</v>
      </c>
    </row>
    <row r="99">
      <c r="A99" s="13" t="n">
        <v>5</v>
      </c>
      <c r="B99" s="13" t="n">
        <v>3</v>
      </c>
      <c r="C99" s="13" t="inlineStr">
        <is>
          <t>R&amp;I TRANSMISSION</t>
        </is>
      </c>
      <c r="D99" s="13" t="inlineStr">
        <is>
          <t>07000-F2085</t>
        </is>
      </c>
      <c r="E99" s="13" t="inlineStr">
        <is>
          <t>O-RING</t>
        </is>
      </c>
      <c r="F99" s="34" t="n">
        <v>1</v>
      </c>
      <c r="G99" s="14" t="n">
        <v>17.06</v>
      </c>
      <c r="H99" s="14" t="n">
        <v>17.06</v>
      </c>
      <c r="I99" s="14" t="n">
        <v>13.53119569805705</v>
      </c>
      <c r="J99" s="14" t="n">
        <v>13.53119569805705</v>
      </c>
      <c r="K99" s="14" t="n">
        <v>15.6952</v>
      </c>
      <c r="L99" s="14" t="n">
        <v>15.6952</v>
      </c>
      <c r="M99" s="61" t="n">
        <v>2.164004301942953</v>
      </c>
      <c r="N99" s="54" t="inlineStr">
        <is>
          <t>MATCH</t>
        </is>
      </c>
      <c r="O99" s="13" t="inlineStr"/>
      <c r="P99" s="14" t="n">
        <v>18.82076086956521</v>
      </c>
      <c r="Q99" s="14" t="n">
        <v>17.3151</v>
      </c>
      <c r="R99" s="62" t="n">
        <v>0.90644581896726</v>
      </c>
    </row>
    <row r="100">
      <c r="A100" s="13" t="n">
        <v>5</v>
      </c>
      <c r="B100" s="13" t="n">
        <v>3</v>
      </c>
      <c r="C100" s="13" t="inlineStr">
        <is>
          <t>R&amp;I TRANSMISSION</t>
        </is>
      </c>
      <c r="D100" s="13" t="inlineStr">
        <is>
          <t>07000-F3035</t>
        </is>
      </c>
      <c r="E100" s="13" t="inlineStr">
        <is>
          <t>O-RING P6</t>
        </is>
      </c>
      <c r="F100" s="34" t="n">
        <v>2</v>
      </c>
      <c r="G100" s="14" t="n">
        <v>13.91</v>
      </c>
      <c r="H100" s="14" t="n">
        <v>27.82</v>
      </c>
      <c r="I100" s="14" t="n">
        <v>11.03276272918954</v>
      </c>
      <c r="J100" s="14" t="n">
        <v>22.06552545837908</v>
      </c>
      <c r="K100" s="14" t="n">
        <v>12.7972</v>
      </c>
      <c r="L100" s="14" t="n">
        <v>25.5944</v>
      </c>
      <c r="M100" s="61" t="n">
        <v>3.528874541620922</v>
      </c>
      <c r="N100" s="54" t="inlineStr">
        <is>
          <t>MATCH</t>
        </is>
      </c>
      <c r="O100" s="13" t="inlineStr"/>
      <c r="P100" s="14" t="n">
        <v>15.33423913043478</v>
      </c>
      <c r="Q100" s="14" t="n">
        <v>14.1075</v>
      </c>
      <c r="R100" s="62" t="n">
        <v>0.9071203260676945</v>
      </c>
    </row>
    <row r="101">
      <c r="A101" s="13" t="n">
        <v>5</v>
      </c>
      <c r="B101" s="13" t="n">
        <v>3</v>
      </c>
      <c r="C101" s="13" t="inlineStr">
        <is>
          <t>R&amp;I TRANSMISSION</t>
        </is>
      </c>
      <c r="D101" s="13" t="inlineStr">
        <is>
          <t>07000-F3048</t>
        </is>
      </c>
      <c r="E101" s="13" t="inlineStr">
        <is>
          <t>O-RING P</t>
        </is>
      </c>
      <c r="F101" s="34" t="n">
        <v>6</v>
      </c>
      <c r="G101" s="14" t="n">
        <v>15.06</v>
      </c>
      <c r="H101" s="14" t="n">
        <v>90.36</v>
      </c>
      <c r="I101" s="14" t="n">
        <v>11.94488905115704</v>
      </c>
      <c r="J101" s="14" t="n">
        <v>71.66933430694225</v>
      </c>
      <c r="K101" s="14" t="n">
        <v>13.8552</v>
      </c>
      <c r="L101" s="14" t="n">
        <v>83.13120000000001</v>
      </c>
      <c r="M101" s="61" t="n">
        <v>11.46186569305776</v>
      </c>
      <c r="N101" s="54" t="inlineStr">
        <is>
          <t>MATCH</t>
        </is>
      </c>
      <c r="O101" s="13" t="inlineStr"/>
      <c r="P101" s="14" t="n">
        <v>16.60402173913043</v>
      </c>
      <c r="Q101" s="14" t="n">
        <v>15.2757</v>
      </c>
      <c r="R101" s="62" t="n">
        <v>0.9070091714291327</v>
      </c>
    </row>
    <row r="102">
      <c r="A102" s="13" t="n">
        <v>5</v>
      </c>
      <c r="B102" s="13" t="n">
        <v>3</v>
      </c>
      <c r="C102" s="13" t="inlineStr">
        <is>
          <t>R&amp;I TRANSMISSION</t>
        </is>
      </c>
      <c r="D102" s="13" t="inlineStr">
        <is>
          <t>07002-13334</t>
        </is>
      </c>
      <c r="E102" s="13" t="inlineStr">
        <is>
          <t>O-RING P6</t>
        </is>
      </c>
      <c r="F102" s="34" t="n">
        <v>6</v>
      </c>
      <c r="G102" s="14" t="n">
        <v>3.17</v>
      </c>
      <c r="H102" s="14" t="n">
        <v>19.02</v>
      </c>
      <c r="I102" s="14" t="n">
        <v>2.514296035336509</v>
      </c>
      <c r="J102" s="14" t="n">
        <v>15.08577621201905</v>
      </c>
      <c r="K102" s="14" t="n">
        <v>2.9164</v>
      </c>
      <c r="L102" s="14" t="n">
        <v>17.4984</v>
      </c>
      <c r="M102" s="61" t="n">
        <v>2.412623787980948</v>
      </c>
      <c r="N102" s="54" t="inlineStr">
        <is>
          <t>MATCH</t>
        </is>
      </c>
      <c r="O102" s="13" t="inlineStr"/>
      <c r="P102" s="14" t="n">
        <v>3.497282608695652</v>
      </c>
      <c r="Q102" s="14" t="n">
        <v>3.2175</v>
      </c>
      <c r="R102" s="62" t="n">
        <v>0.9064180264180265</v>
      </c>
    </row>
    <row r="103">
      <c r="A103" s="13" t="n">
        <v>5</v>
      </c>
      <c r="B103" s="13" t="n">
        <v>3</v>
      </c>
      <c r="C103" s="13" t="inlineStr">
        <is>
          <t>R&amp;I TRANSMISSION</t>
        </is>
      </c>
      <c r="D103" s="13" t="inlineStr">
        <is>
          <t>07005-02216</t>
        </is>
      </c>
      <c r="E103" s="13" t="inlineStr">
        <is>
          <t>SEAL</t>
        </is>
      </c>
      <c r="F103" s="34" t="n">
        <v>1</v>
      </c>
      <c r="G103" s="14" t="n">
        <v>11.27</v>
      </c>
      <c r="H103" s="14" t="n">
        <v>11.27</v>
      </c>
      <c r="I103" s="14" t="n">
        <v>8.938837955281532</v>
      </c>
      <c r="J103" s="14" t="n">
        <v>8.938837955281532</v>
      </c>
      <c r="K103" s="14" t="n">
        <v>10.3684</v>
      </c>
      <c r="L103" s="14" t="n">
        <v>10.3684</v>
      </c>
      <c r="M103" s="61" t="n">
        <v>1.429562044718468</v>
      </c>
      <c r="N103" s="54" t="inlineStr">
        <is>
          <t>MATCH</t>
        </is>
      </c>
      <c r="O103" s="13" t="inlineStr"/>
      <c r="P103" s="14" t="n">
        <v>12.42880434782609</v>
      </c>
      <c r="Q103" s="14" t="n">
        <v>11.4345</v>
      </c>
      <c r="R103" s="62" t="n">
        <v>0.906764615855525</v>
      </c>
    </row>
    <row r="104">
      <c r="A104" s="13" t="n">
        <v>5</v>
      </c>
      <c r="B104" s="13" t="n">
        <v>3</v>
      </c>
      <c r="C104" s="13" t="inlineStr">
        <is>
          <t>R&amp;I TRANSMISSION</t>
        </is>
      </c>
      <c r="D104" s="13" t="inlineStr">
        <is>
          <t>07051-00000</t>
        </is>
      </c>
      <c r="E104" s="13" t="inlineStr">
        <is>
          <t>CAP</t>
        </is>
      </c>
      <c r="F104" s="34" t="n">
        <v>1</v>
      </c>
      <c r="G104" s="14" t="n">
        <v>92.06</v>
      </c>
      <c r="H104" s="14" t="n">
        <v>92.06</v>
      </c>
      <c r="I104" s="14" t="n">
        <v>73.01769495680726</v>
      </c>
      <c r="J104" s="14" t="n">
        <v>73.01769495680726</v>
      </c>
      <c r="K104" s="14" t="n">
        <v>84.6952</v>
      </c>
      <c r="L104" s="14" t="n">
        <v>84.6952</v>
      </c>
      <c r="M104" s="61" t="n">
        <v>11.67750504319274</v>
      </c>
      <c r="N104" s="54" t="inlineStr">
        <is>
          <t>MATCH</t>
        </is>
      </c>
      <c r="O104" s="13" t="inlineStr"/>
      <c r="P104" s="14" t="n">
        <v>109.8254347826087</v>
      </c>
      <c r="Q104" s="14" t="n">
        <v>101.0394</v>
      </c>
      <c r="R104" s="62" t="n">
        <v>0.8382393402969535</v>
      </c>
    </row>
    <row r="105">
      <c r="A105" s="13" t="n">
        <v>5</v>
      </c>
      <c r="B105" s="13" t="n">
        <v>3</v>
      </c>
      <c r="C105" s="13" t="inlineStr">
        <is>
          <t>R&amp;I TRANSMISSION</t>
        </is>
      </c>
      <c r="D105" s="13" t="inlineStr">
        <is>
          <t>425-16-11230</t>
        </is>
      </c>
      <c r="E105" s="13" t="inlineStr">
        <is>
          <t>WASHER</t>
        </is>
      </c>
      <c r="F105" s="34" t="n">
        <v>2</v>
      </c>
      <c r="G105" s="14" t="n">
        <v>4.37</v>
      </c>
      <c r="H105" s="14" t="n">
        <v>8.74</v>
      </c>
      <c r="I105" s="14" t="n">
        <v>3.466080023476512</v>
      </c>
      <c r="J105" s="14" t="n">
        <v>6.932160046953024</v>
      </c>
      <c r="K105" s="14" t="n">
        <v>4.0204</v>
      </c>
      <c r="L105" s="14" t="n">
        <v>8.040800000000001</v>
      </c>
      <c r="M105" s="61" t="n">
        <v>1.108639953046977</v>
      </c>
      <c r="N105" s="54" t="inlineStr">
        <is>
          <t>MATCH</t>
        </is>
      </c>
      <c r="O105" s="13" t="inlineStr"/>
      <c r="P105" s="14" t="n">
        <v>5.219021739130435</v>
      </c>
      <c r="Q105" s="14" t="n">
        <v>4.8015</v>
      </c>
      <c r="R105" s="62" t="n">
        <v>0.8373216703113611</v>
      </c>
    </row>
    <row r="106">
      <c r="A106" s="13" t="n">
        <v>5</v>
      </c>
      <c r="B106" s="13" t="n">
        <v>3</v>
      </c>
      <c r="C106" s="13" t="inlineStr">
        <is>
          <t>R&amp;I TRANSMISSION</t>
        </is>
      </c>
      <c r="D106" s="13" t="inlineStr">
        <is>
          <t>CR427-15-01009</t>
        </is>
      </c>
      <c r="E106" s="13" t="inlineStr">
        <is>
          <t>TORQFLOW ASSY</t>
        </is>
      </c>
      <c r="F106" s="34" t="n">
        <v>-1</v>
      </c>
      <c r="G106" s="14" t="n">
        <v>63059.64</v>
      </c>
      <c r="H106" s="14" t="n">
        <v>-63059.64</v>
      </c>
      <c r="I106" s="14" t="n">
        <v>50015.96304156073</v>
      </c>
      <c r="J106" s="14" t="n">
        <v>-50015.96304156073</v>
      </c>
      <c r="K106" s="14" t="n">
        <v>58014.8688</v>
      </c>
      <c r="L106" s="14" t="n">
        <v>-58014.8688</v>
      </c>
      <c r="M106" s="61" t="n">
        <v>-7998.905758439272</v>
      </c>
      <c r="N106" s="63" t="inlineStr">
        <is>
          <t>NO MATCH</t>
        </is>
      </c>
      <c r="O106" s="13" t="inlineStr">
        <is>
          <t>Core charge / credit</t>
        </is>
      </c>
      <c r="P106" s="14" t="n"/>
      <c r="Q106" s="14" t="n"/>
      <c r="R106" s="62" t="n"/>
    </row>
    <row r="107">
      <c r="A107" s="13" t="n">
        <v>5</v>
      </c>
      <c r="B107" s="13" t="n">
        <v>3</v>
      </c>
      <c r="C107" s="13" t="inlineStr">
        <is>
          <t>R&amp;I TRANSMISSION</t>
        </is>
      </c>
      <c r="D107" s="13" t="inlineStr">
        <is>
          <t>CR427-15-01009</t>
        </is>
      </c>
      <c r="E107" s="13" t="inlineStr">
        <is>
          <t>TORQFLOW ASSY</t>
        </is>
      </c>
      <c r="F107" s="34" t="n">
        <v>1</v>
      </c>
      <c r="G107" s="14" t="n">
        <v>63059.64</v>
      </c>
      <c r="H107" s="14" t="n">
        <v>63059.64</v>
      </c>
      <c r="I107" s="14" t="n">
        <v>50015.96304156073</v>
      </c>
      <c r="J107" s="14" t="n">
        <v>50015.96304156073</v>
      </c>
      <c r="K107" s="14" t="n">
        <v>58014.8688</v>
      </c>
      <c r="L107" s="14" t="n">
        <v>58014.8688</v>
      </c>
      <c r="M107" s="61" t="n">
        <v>7998.905758439272</v>
      </c>
      <c r="N107" s="63" t="inlineStr">
        <is>
          <t>NO MATCH</t>
        </is>
      </c>
      <c r="O107" s="13" t="inlineStr">
        <is>
          <t>Core charge / credit</t>
        </is>
      </c>
      <c r="P107" s="14" t="n"/>
      <c r="Q107" s="14" t="n"/>
      <c r="R107" s="62" t="n"/>
    </row>
    <row r="108">
      <c r="A108" s="13" t="n">
        <v>5</v>
      </c>
      <c r="B108" s="13" t="n">
        <v>3</v>
      </c>
      <c r="C108" s="13" t="inlineStr">
        <is>
          <t>R&amp;I TRANSMISSION</t>
        </is>
      </c>
      <c r="D108" s="13" t="inlineStr">
        <is>
          <t>R427-15-01009</t>
        </is>
      </c>
      <c r="E108" s="13" t="inlineStr">
        <is>
          <t>TORQFLOW ASS</t>
        </is>
      </c>
      <c r="F108" s="34" t="n">
        <v>1</v>
      </c>
      <c r="G108" s="14" t="n">
        <v>106696.6</v>
      </c>
      <c r="H108" s="14" t="n">
        <v>106696.6</v>
      </c>
      <c r="I108" s="14" t="n">
        <v>84626.76289081557</v>
      </c>
      <c r="J108" s="14" t="n">
        <v>84626.76289081557</v>
      </c>
      <c r="K108" s="14" t="n">
        <v>98160.872</v>
      </c>
      <c r="L108" s="14" t="n">
        <v>98160.872</v>
      </c>
      <c r="M108" s="61" t="n">
        <v>13534.10910918443</v>
      </c>
      <c r="N108" s="54" t="inlineStr">
        <is>
          <t>MATCH</t>
        </is>
      </c>
      <c r="O108" s="13" t="inlineStr"/>
      <c r="P108" s="14" t="n">
        <v>190847.2930434783</v>
      </c>
      <c r="Q108" s="14" t="n">
        <v>175579.5096</v>
      </c>
      <c r="R108" s="62" t="n">
        <v>0.5590679244043179</v>
      </c>
    </row>
    <row r="109">
      <c r="A109" s="13" t="n">
        <v>6</v>
      </c>
      <c r="B109" s="13" t="n">
        <v>3</v>
      </c>
      <c r="C109" s="13" t="inlineStr">
        <is>
          <t>R&amp;I TRANSMISSION</t>
        </is>
      </c>
      <c r="D109" s="13" t="inlineStr">
        <is>
          <t>427-16-11610</t>
        </is>
      </c>
      <c r="E109" s="13" t="inlineStr">
        <is>
          <t>GAUGE</t>
        </is>
      </c>
      <c r="F109" s="34" t="n">
        <v>1</v>
      </c>
      <c r="G109" s="14" t="n">
        <v>516.35</v>
      </c>
      <c r="H109" s="14" t="n">
        <v>516.35</v>
      </c>
      <c r="I109" s="14" t="n">
        <v>409.5447185634089</v>
      </c>
      <c r="J109" s="14" t="n">
        <v>409.5447185634089</v>
      </c>
      <c r="K109" s="14" t="n">
        <v>475.042</v>
      </c>
      <c r="L109" s="14" t="n">
        <v>475.042</v>
      </c>
      <c r="M109" s="61" t="n">
        <v>65.49728143659109</v>
      </c>
      <c r="N109" s="54" t="inlineStr">
        <is>
          <t>MATCH</t>
        </is>
      </c>
      <c r="O109" s="13" t="inlineStr"/>
      <c r="P109" s="14" t="n">
        <v>616.0275</v>
      </c>
      <c r="Q109" s="14" t="n">
        <v>566.7453</v>
      </c>
      <c r="R109" s="62" t="n">
        <v>0.8381931001456916</v>
      </c>
    </row>
    <row r="110">
      <c r="A110" s="13" t="n">
        <v>6</v>
      </c>
      <c r="B110" s="13" t="n">
        <v>3</v>
      </c>
      <c r="C110" s="13" t="inlineStr">
        <is>
          <t>R&amp;I TRANSMISSION</t>
        </is>
      </c>
      <c r="D110" s="13" t="inlineStr">
        <is>
          <t>568-16-12151</t>
        </is>
      </c>
      <c r="E110" s="13" t="inlineStr">
        <is>
          <t>CUSHION</t>
        </is>
      </c>
      <c r="F110" s="34" t="n">
        <v>2</v>
      </c>
      <c r="G110" s="14" t="n">
        <v>502.85</v>
      </c>
      <c r="H110" s="14" t="n">
        <v>1005.7</v>
      </c>
      <c r="I110" s="14" t="n">
        <v>398.8371486968339</v>
      </c>
      <c r="J110" s="14" t="n">
        <v>797.6742973936679</v>
      </c>
      <c r="K110" s="14" t="n">
        <v>462.622</v>
      </c>
      <c r="L110" s="14" t="n">
        <v>925.244</v>
      </c>
      <c r="M110" s="61" t="n">
        <v>127.5697026063322</v>
      </c>
      <c r="N110" s="54" t="inlineStr">
        <is>
          <t>MATCH</t>
        </is>
      </c>
      <c r="O110" s="13" t="inlineStr"/>
      <c r="P110" s="14" t="n">
        <v>599.9292391304348</v>
      </c>
      <c r="Q110" s="14" t="n">
        <v>551.9349</v>
      </c>
      <c r="R110" s="62" t="n">
        <v>0.8381821841670096</v>
      </c>
    </row>
    <row r="111">
      <c r="A111" s="13" t="n">
        <v>6</v>
      </c>
      <c r="B111" s="13" t="n">
        <v>3</v>
      </c>
      <c r="C111" s="13" t="inlineStr">
        <is>
          <t>R&amp;I TRANSMISSION</t>
        </is>
      </c>
      <c r="D111" s="13" t="inlineStr">
        <is>
          <t>569-14-41130</t>
        </is>
      </c>
      <c r="E111" s="13" t="inlineStr">
        <is>
          <t>CUSHION</t>
        </is>
      </c>
      <c r="F111" s="34" t="n">
        <v>2</v>
      </c>
      <c r="G111" s="14" t="n">
        <v>230.92</v>
      </c>
      <c r="H111" s="14" t="n">
        <v>461.84</v>
      </c>
      <c r="I111" s="14" t="n">
        <v>183.1549654510746</v>
      </c>
      <c r="J111" s="14" t="n">
        <v>366.3099309021493</v>
      </c>
      <c r="K111" s="14" t="n">
        <v>212.4464</v>
      </c>
      <c r="L111" s="14" t="n">
        <v>424.8928</v>
      </c>
      <c r="M111" s="61" t="n">
        <v>58.58286909785073</v>
      </c>
      <c r="N111" s="54" t="inlineStr">
        <is>
          <t>MATCH</t>
        </is>
      </c>
      <c r="O111" s="13" t="inlineStr"/>
      <c r="P111" s="14" t="n">
        <v>275.4997826086956</v>
      </c>
      <c r="Q111" s="14" t="n">
        <v>253.4598</v>
      </c>
      <c r="R111" s="62" t="n">
        <v>0.83818577936225</v>
      </c>
    </row>
    <row r="112">
      <c r="A112" s="13" t="n">
        <v>6</v>
      </c>
      <c r="B112" s="13" t="n">
        <v>3</v>
      </c>
      <c r="C112" s="13" t="inlineStr">
        <is>
          <t>R&amp;I TRANSMISSION</t>
        </is>
      </c>
      <c r="D112" s="13" t="inlineStr">
        <is>
          <t>7861-93-1670</t>
        </is>
      </c>
      <c r="E112" s="13" t="inlineStr">
        <is>
          <t>SENSOR</t>
        </is>
      </c>
      <c r="F112" s="34" t="n">
        <v>1</v>
      </c>
      <c r="G112" s="14" t="n">
        <v>1155.91</v>
      </c>
      <c r="H112" s="14" t="n">
        <v>1155.91</v>
      </c>
      <c r="I112" s="14" t="n">
        <v>916.8138581090927</v>
      </c>
      <c r="J112" s="14" t="n">
        <v>916.8138581090927</v>
      </c>
      <c r="K112" s="14" t="n">
        <v>1063.4372</v>
      </c>
      <c r="L112" s="14" t="n">
        <v>1063.4372</v>
      </c>
      <c r="M112" s="61" t="n">
        <v>146.6233418909073</v>
      </c>
      <c r="N112" s="54" t="inlineStr">
        <is>
          <t>MATCH</t>
        </is>
      </c>
      <c r="O112" s="13" t="inlineStr"/>
      <c r="P112" s="14" t="n">
        <v>1430.431630434783</v>
      </c>
      <c r="Q112" s="14" t="n">
        <v>1315.9971</v>
      </c>
      <c r="R112" s="62" t="n">
        <v>0.8080847594572967</v>
      </c>
    </row>
    <row r="113">
      <c r="A113" s="64" t="n">
        <v>6</v>
      </c>
      <c r="B113" s="64" t="n">
        <v>4</v>
      </c>
      <c r="C113" s="64" t="inlineStr">
        <is>
          <t>REBUILD DAMPER</t>
        </is>
      </c>
      <c r="D113" s="64" t="inlineStr">
        <is>
          <t>07030-00252</t>
        </is>
      </c>
      <c r="E113" s="64" t="inlineStr">
        <is>
          <t>BREATHER P60</t>
        </is>
      </c>
      <c r="F113" s="65" t="n">
        <v>1</v>
      </c>
      <c r="G113" s="66" t="n">
        <v>36.63</v>
      </c>
      <c r="H113" s="66" t="n">
        <v>36.63</v>
      </c>
      <c r="I113" s="66" t="n">
        <v>29.0532062379736</v>
      </c>
      <c r="J113" s="66" t="n">
        <v>29.0532062379736</v>
      </c>
      <c r="K113" s="66" t="n">
        <v>33.6996</v>
      </c>
      <c r="L113" s="66" t="n">
        <v>33.6996</v>
      </c>
      <c r="M113" s="67" t="n">
        <v>4.646393762026399</v>
      </c>
      <c r="N113" s="68" t="inlineStr">
        <is>
          <t>MATCH</t>
        </is>
      </c>
      <c r="O113" s="64" t="inlineStr"/>
      <c r="P113" s="66" t="n">
        <v>40.4070652173913</v>
      </c>
      <c r="Q113" s="66" t="n">
        <v>37.17449999999999</v>
      </c>
      <c r="R113" s="69" t="n">
        <v>0.9065246338215714</v>
      </c>
    </row>
    <row r="114">
      <c r="A114" s="64" t="n">
        <v>6</v>
      </c>
      <c r="B114" s="64" t="n">
        <v>4</v>
      </c>
      <c r="C114" s="64" t="inlineStr">
        <is>
          <t>REBUILD DAMPER</t>
        </is>
      </c>
      <c r="D114" s="64" t="inlineStr">
        <is>
          <t>07030-01030</t>
        </is>
      </c>
      <c r="E114" s="64" t="inlineStr">
        <is>
          <t>BREATHER</t>
        </is>
      </c>
      <c r="F114" s="65" t="n">
        <v>1</v>
      </c>
      <c r="G114" s="66" t="n">
        <v>23.04</v>
      </c>
      <c r="H114" s="66" t="n">
        <v>23.04</v>
      </c>
      <c r="I114" s="66" t="n">
        <v>18.27425257228806</v>
      </c>
      <c r="J114" s="66" t="n">
        <v>18.27425257228806</v>
      </c>
      <c r="K114" s="66" t="n">
        <v>21.1968</v>
      </c>
      <c r="L114" s="66" t="n">
        <v>21.1968</v>
      </c>
      <c r="M114" s="67" t="n">
        <v>2.922547427711937</v>
      </c>
      <c r="N114" s="68" t="inlineStr">
        <is>
          <t>MATCH</t>
        </is>
      </c>
      <c r="O114" s="64" t="inlineStr"/>
      <c r="P114" s="66" t="n">
        <v>27.225</v>
      </c>
      <c r="Q114" s="66" t="n">
        <v>25.047</v>
      </c>
      <c r="R114" s="69" t="n">
        <v>0.8462809917355373</v>
      </c>
    </row>
    <row r="115">
      <c r="A115" s="64" t="n">
        <v>6</v>
      </c>
      <c r="B115" s="64" t="n">
        <v>4</v>
      </c>
      <c r="C115" s="64" t="inlineStr">
        <is>
          <t>REBUILD DAMPER</t>
        </is>
      </c>
      <c r="D115" s="64" t="inlineStr">
        <is>
          <t>1400501H2</t>
        </is>
      </c>
      <c r="E115" s="64" t="inlineStr">
        <is>
          <t>TO10 TRANS 5GAL</t>
        </is>
      </c>
      <c r="F115" s="65" t="n">
        <v>1</v>
      </c>
      <c r="G115" s="66" t="n">
        <v>81.43000000000001</v>
      </c>
      <c r="H115" s="66" t="n">
        <v>81.43000000000001</v>
      </c>
      <c r="I115" s="66" t="n">
        <v>64.58647512853373</v>
      </c>
      <c r="J115" s="66" t="n">
        <v>64.58647512853373</v>
      </c>
      <c r="K115" s="66" t="n">
        <v>74.91560000000001</v>
      </c>
      <c r="L115" s="66" t="n">
        <v>74.91560000000001</v>
      </c>
      <c r="M115" s="67" t="n">
        <v>10.32912487146628</v>
      </c>
      <c r="N115" s="68" t="inlineStr">
        <is>
          <t>MATCH</t>
        </is>
      </c>
      <c r="O115" s="64" t="inlineStr"/>
      <c r="P115" s="66" t="n">
        <v>112.4510869565217</v>
      </c>
      <c r="Q115" s="66" t="n">
        <v>103.455</v>
      </c>
      <c r="R115" s="69" t="n">
        <v>0.7241370644241458</v>
      </c>
    </row>
    <row r="116">
      <c r="A116" s="64" t="n">
        <v>6</v>
      </c>
      <c r="B116" s="64" t="n">
        <v>4</v>
      </c>
      <c r="C116" s="64" t="inlineStr">
        <is>
          <t>REBUILD DAMPER</t>
        </is>
      </c>
      <c r="D116" s="64" t="inlineStr">
        <is>
          <t>427-12-11240</t>
        </is>
      </c>
      <c r="E116" s="64" t="inlineStr">
        <is>
          <t>O-RING</t>
        </is>
      </c>
      <c r="F116" s="65" t="n">
        <v>2</v>
      </c>
      <c r="G116" s="66" t="n">
        <v>111.58</v>
      </c>
      <c r="H116" s="66" t="n">
        <v>223.16</v>
      </c>
      <c r="I116" s="66" t="n">
        <v>88.50004783055131</v>
      </c>
      <c r="J116" s="66" t="n">
        <v>177.0000956611026</v>
      </c>
      <c r="K116" s="66" t="n">
        <v>102.6536</v>
      </c>
      <c r="L116" s="66" t="n">
        <v>205.3072</v>
      </c>
      <c r="M116" s="67" t="n">
        <v>28.30710433889737</v>
      </c>
      <c r="N116" s="68" t="inlineStr">
        <is>
          <t>MATCH</t>
        </is>
      </c>
      <c r="O116" s="64" t="inlineStr"/>
      <c r="P116" s="66" t="n">
        <v>123.0720652173913</v>
      </c>
      <c r="Q116" s="66" t="n">
        <v>113.2263</v>
      </c>
      <c r="R116" s="69" t="n">
        <v>0.906623284519586</v>
      </c>
    </row>
    <row r="117">
      <c r="A117" s="64" t="n">
        <v>6</v>
      </c>
      <c r="B117" s="64" t="n">
        <v>4</v>
      </c>
      <c r="C117" s="64" t="inlineStr">
        <is>
          <t>REBUILD DAMPER</t>
        </is>
      </c>
      <c r="D117" s="64" t="inlineStr">
        <is>
          <t>427-12-11343</t>
        </is>
      </c>
      <c r="E117" s="64" t="inlineStr">
        <is>
          <t>OIL SEAL</t>
        </is>
      </c>
      <c r="F117" s="65" t="n">
        <v>1</v>
      </c>
      <c r="G117" s="66" t="n">
        <v>426.19</v>
      </c>
      <c r="H117" s="66" t="n">
        <v>426.19</v>
      </c>
      <c r="I117" s="66" t="n">
        <v>338.0340149211567</v>
      </c>
      <c r="J117" s="66" t="n">
        <v>338.0340149211567</v>
      </c>
      <c r="K117" s="66" t="n">
        <v>392.0948</v>
      </c>
      <c r="L117" s="66" t="n">
        <v>392.0948</v>
      </c>
      <c r="M117" s="67" t="n">
        <v>54.06078507884337</v>
      </c>
      <c r="N117" s="68" t="inlineStr">
        <is>
          <t>MATCH</t>
        </is>
      </c>
      <c r="O117" s="64" t="inlineStr"/>
      <c r="P117" s="66" t="n">
        <v>508.4618478260869</v>
      </c>
      <c r="Q117" s="66" t="n">
        <v>467.7849</v>
      </c>
      <c r="R117" s="69" t="n">
        <v>0.8381946488653226</v>
      </c>
    </row>
    <row r="118">
      <c r="A118" s="64" t="n">
        <v>6</v>
      </c>
      <c r="B118" s="64" t="n">
        <v>4</v>
      </c>
      <c r="C118" s="64" t="inlineStr">
        <is>
          <t>REBUILD DAMPER</t>
        </is>
      </c>
      <c r="D118" s="64" t="inlineStr">
        <is>
          <t>427-12-11353</t>
        </is>
      </c>
      <c r="E118" s="64" t="inlineStr">
        <is>
          <t>OIL SEAL</t>
        </is>
      </c>
      <c r="F118" s="65" t="n">
        <v>1</v>
      </c>
      <c r="G118" s="66" t="n">
        <v>179.32</v>
      </c>
      <c r="H118" s="66" t="n">
        <v>179.32</v>
      </c>
      <c r="I118" s="66" t="n">
        <v>142.2282539610545</v>
      </c>
      <c r="J118" s="66" t="n">
        <v>142.2282539610545</v>
      </c>
      <c r="K118" s="66" t="n">
        <v>164.9744</v>
      </c>
      <c r="L118" s="66" t="n">
        <v>164.9744</v>
      </c>
      <c r="M118" s="67" t="n">
        <v>22.74614603894551</v>
      </c>
      <c r="N118" s="68" t="inlineStr">
        <is>
          <t>MATCH</t>
        </is>
      </c>
      <c r="O118" s="64" t="inlineStr"/>
      <c r="P118" s="66" t="n">
        <v>213.9368478260869</v>
      </c>
      <c r="Q118" s="66" t="n">
        <v>196.8219</v>
      </c>
      <c r="R118" s="69" t="n">
        <v>0.838191278511182</v>
      </c>
    </row>
    <row r="119">
      <c r="A119" s="64" t="n">
        <v>6</v>
      </c>
      <c r="B119" s="64" t="n">
        <v>4</v>
      </c>
      <c r="C119" s="64" t="inlineStr">
        <is>
          <t>REBUILD DAMPER</t>
        </is>
      </c>
      <c r="D119" s="64" t="inlineStr">
        <is>
          <t>427-12-11380</t>
        </is>
      </c>
      <c r="E119" s="64" t="inlineStr">
        <is>
          <t>GASKET</t>
        </is>
      </c>
      <c r="F119" s="65" t="n">
        <v>1</v>
      </c>
      <c r="G119" s="66" t="n">
        <v>11.02</v>
      </c>
      <c r="H119" s="66" t="n">
        <v>11.02</v>
      </c>
      <c r="I119" s="66" t="n">
        <v>8.74054962441903</v>
      </c>
      <c r="J119" s="66" t="n">
        <v>8.74054962441903</v>
      </c>
      <c r="K119" s="66" t="n">
        <v>10.1384</v>
      </c>
      <c r="L119" s="66" t="n">
        <v>10.1384</v>
      </c>
      <c r="M119" s="67" t="n">
        <v>1.397850375580971</v>
      </c>
      <c r="N119" s="68" t="inlineStr">
        <is>
          <t>MATCH</t>
        </is>
      </c>
      <c r="O119" s="64" t="inlineStr"/>
      <c r="P119" s="66" t="n">
        <v>13.14978260869565</v>
      </c>
      <c r="Q119" s="66" t="n">
        <v>12.0978</v>
      </c>
      <c r="R119" s="69" t="n">
        <v>0.8380366678239018</v>
      </c>
    </row>
    <row r="120">
      <c r="A120" s="64" t="n">
        <v>6</v>
      </c>
      <c r="B120" s="64" t="n">
        <v>4</v>
      </c>
      <c r="C120" s="64" t="inlineStr">
        <is>
          <t>REBUILD DAMPER</t>
        </is>
      </c>
      <c r="D120" s="64" t="inlineStr">
        <is>
          <t>427-12-11872</t>
        </is>
      </c>
      <c r="E120" s="64" t="inlineStr">
        <is>
          <t>GREASE</t>
        </is>
      </c>
      <c r="F120" s="65" t="n">
        <v>1</v>
      </c>
      <c r="G120" s="66" t="n">
        <v>252.7</v>
      </c>
      <c r="H120" s="66" t="n">
        <v>252.7</v>
      </c>
      <c r="I120" s="66" t="n">
        <v>200.4298448358157</v>
      </c>
      <c r="J120" s="66" t="n">
        <v>200.4298448358157</v>
      </c>
      <c r="K120" s="66" t="n">
        <v>232.484</v>
      </c>
      <c r="L120" s="66" t="n">
        <v>232.484</v>
      </c>
      <c r="M120" s="67" t="n">
        <v>32.05415516418432</v>
      </c>
      <c r="N120" s="68" t="inlineStr">
        <is>
          <t>MATCH</t>
        </is>
      </c>
      <c r="O120" s="64" t="inlineStr"/>
      <c r="P120" s="66" t="n">
        <v>301.4872826086957</v>
      </c>
      <c r="Q120" s="66" t="n">
        <v>277.3683</v>
      </c>
      <c r="R120" s="69" t="n">
        <v>0.8381779749163836</v>
      </c>
    </row>
    <row r="121">
      <c r="A121" s="64" t="n">
        <v>6</v>
      </c>
      <c r="B121" s="64" t="n">
        <v>4</v>
      </c>
      <c r="C121" s="64" t="inlineStr">
        <is>
          <t>REBUILD DAMPER</t>
        </is>
      </c>
      <c r="D121" s="64" t="inlineStr">
        <is>
          <t>427-12-11980</t>
        </is>
      </c>
      <c r="E121" s="64" t="inlineStr">
        <is>
          <t>RUBBER</t>
        </is>
      </c>
      <c r="F121" s="65" t="n">
        <v>6</v>
      </c>
      <c r="G121" s="66" t="n">
        <v>443.18</v>
      </c>
      <c r="H121" s="66" t="n">
        <v>2659.08</v>
      </c>
      <c r="I121" s="66" t="n">
        <v>351.5096898865722</v>
      </c>
      <c r="J121" s="66" t="n">
        <v>2109.058139319433</v>
      </c>
      <c r="K121" s="66" t="n">
        <v>407.7256</v>
      </c>
      <c r="L121" s="66" t="n">
        <v>2446.3536</v>
      </c>
      <c r="M121" s="67" t="n">
        <v>337.2954606805665</v>
      </c>
      <c r="N121" s="68" t="inlineStr">
        <is>
          <t>MATCH</t>
        </is>
      </c>
      <c r="O121" s="64" t="inlineStr"/>
      <c r="P121" s="66" t="n">
        <v>523.6346739130435</v>
      </c>
      <c r="Q121" s="66" t="n">
        <v>481.7439</v>
      </c>
      <c r="R121" s="69" t="n">
        <v>0.8463534255441533</v>
      </c>
    </row>
    <row r="122">
      <c r="A122" s="64" t="n">
        <v>6</v>
      </c>
      <c r="B122" s="64" t="n">
        <v>4</v>
      </c>
      <c r="C122" s="64" t="inlineStr">
        <is>
          <t>REBUILD DAMPER</t>
        </is>
      </c>
      <c r="D122" s="64" t="inlineStr">
        <is>
          <t>561-01-71640</t>
        </is>
      </c>
      <c r="E122" s="64" t="inlineStr">
        <is>
          <t>BEARING</t>
        </is>
      </c>
      <c r="F122" s="65" t="n">
        <v>2</v>
      </c>
      <c r="G122" s="66" t="n">
        <v>373.83</v>
      </c>
      <c r="H122" s="66" t="n">
        <v>747.66</v>
      </c>
      <c r="I122" s="66" t="n">
        <v>296.5045069053145</v>
      </c>
      <c r="J122" s="66" t="n">
        <v>593.0090138106291</v>
      </c>
      <c r="K122" s="66" t="n">
        <v>343.9236</v>
      </c>
      <c r="L122" s="66" t="n">
        <v>687.8472</v>
      </c>
      <c r="M122" s="67" t="n">
        <v>94.83818618937096</v>
      </c>
      <c r="N122" s="68" t="inlineStr">
        <is>
          <t>MATCH</t>
        </is>
      </c>
      <c r="O122" s="64" t="inlineStr"/>
      <c r="P122" s="66" t="n">
        <v>445.9949999999999</v>
      </c>
      <c r="Q122" s="66" t="n">
        <v>410.3154</v>
      </c>
      <c r="R122" s="69" t="n">
        <v>0.838193253287593</v>
      </c>
    </row>
    <row r="123">
      <c r="A123" s="13" t="n">
        <v>7</v>
      </c>
      <c r="B123" s="13" t="n">
        <v>5</v>
      </c>
      <c r="C123" s="13" t="inlineStr">
        <is>
          <t>CLEAN HYD/BRAKE OIL TANKS</t>
        </is>
      </c>
      <c r="D123" s="13" t="inlineStr">
        <is>
          <t>02896-11009</t>
        </is>
      </c>
      <c r="E123" s="13" t="inlineStr">
        <is>
          <t>O-RING P60</t>
        </is>
      </c>
      <c r="F123" s="34" t="n">
        <v>4</v>
      </c>
      <c r="G123" s="14" t="n">
        <v>1.59</v>
      </c>
      <c r="H123" s="14" t="n">
        <v>6.36</v>
      </c>
      <c r="I123" s="14" t="n">
        <v>1.261113784285504</v>
      </c>
      <c r="J123" s="14" t="n">
        <v>5.044455137142018</v>
      </c>
      <c r="K123" s="14" t="n">
        <v>1.4628</v>
      </c>
      <c r="L123" s="14" t="n">
        <v>5.8512</v>
      </c>
      <c r="M123" s="61" t="n">
        <v>0.8067448628579825</v>
      </c>
      <c r="N123" s="54" t="inlineStr">
        <is>
          <t>MATCH</t>
        </is>
      </c>
      <c r="O123" s="13" t="inlineStr"/>
      <c r="P123" s="14" t="n">
        <v>1.872391304347826</v>
      </c>
      <c r="Q123" s="14" t="n">
        <v>1.7226</v>
      </c>
      <c r="R123" s="62" t="n">
        <v>0.8491814698711252</v>
      </c>
    </row>
    <row r="124">
      <c r="A124" s="13" t="n">
        <v>7</v>
      </c>
      <c r="B124" s="13" t="n">
        <v>5</v>
      </c>
      <c r="C124" s="13" t="inlineStr">
        <is>
          <t>CLEAN HYD/BRAKE OIL TANKS</t>
        </is>
      </c>
      <c r="D124" s="13" t="inlineStr">
        <is>
          <t>02896-11018</t>
        </is>
      </c>
      <c r="E124" s="13" t="inlineStr">
        <is>
          <t>O-RING</t>
        </is>
      </c>
      <c r="F124" s="34" t="n">
        <v>1</v>
      </c>
      <c r="G124" s="14" t="n">
        <v>1.48</v>
      </c>
      <c r="H124" s="14" t="n">
        <v>1.48</v>
      </c>
      <c r="I124" s="14" t="n">
        <v>1.173866918706004</v>
      </c>
      <c r="J124" s="14" t="n">
        <v>1.173866918706004</v>
      </c>
      <c r="K124" s="14" t="n">
        <v>1.3616</v>
      </c>
      <c r="L124" s="14" t="n">
        <v>1.3616</v>
      </c>
      <c r="M124" s="61" t="n">
        <v>0.1877330812939961</v>
      </c>
      <c r="N124" s="54" t="inlineStr">
        <is>
          <t>MATCH</t>
        </is>
      </c>
      <c r="O124" s="13" t="inlineStr"/>
      <c r="P124" s="14" t="n">
        <v>1.764782608695652</v>
      </c>
      <c r="Q124" s="14" t="n">
        <v>1.6236</v>
      </c>
      <c r="R124" s="62" t="n">
        <v>0.8386302044838632</v>
      </c>
    </row>
    <row r="125">
      <c r="A125" s="13" t="n">
        <v>7</v>
      </c>
      <c r="B125" s="13" t="n">
        <v>5</v>
      </c>
      <c r="C125" s="13" t="inlineStr">
        <is>
          <t>CLEAN HYD/BRAKE OIL TANKS</t>
        </is>
      </c>
      <c r="D125" s="13" t="inlineStr">
        <is>
          <t>02896-21018</t>
        </is>
      </c>
      <c r="E125" s="13" t="inlineStr">
        <is>
          <t>O-RING P60</t>
        </is>
      </c>
      <c r="F125" s="34" t="n">
        <v>2</v>
      </c>
      <c r="G125" s="14" t="n">
        <v>6.26</v>
      </c>
      <c r="H125" s="14" t="n">
        <v>12.52</v>
      </c>
      <c r="I125" s="14" t="n">
        <v>4.965139804797017</v>
      </c>
      <c r="J125" s="14" t="n">
        <v>9.930279609594034</v>
      </c>
      <c r="K125" s="14" t="n">
        <v>5.7592</v>
      </c>
      <c r="L125" s="14" t="n">
        <v>11.5184</v>
      </c>
      <c r="M125" s="61" t="n">
        <v>1.588120390405965</v>
      </c>
      <c r="N125" s="54" t="inlineStr">
        <is>
          <t>MATCH</t>
        </is>
      </c>
      <c r="O125" s="13" t="inlineStr"/>
      <c r="P125" s="14" t="n">
        <v>7.392717391304348</v>
      </c>
      <c r="Q125" s="14" t="n">
        <v>6.8013</v>
      </c>
      <c r="R125" s="62" t="n">
        <v>0.8467792921941393</v>
      </c>
    </row>
    <row r="126">
      <c r="A126" s="13" t="n">
        <v>7</v>
      </c>
      <c r="B126" s="13" t="n">
        <v>5</v>
      </c>
      <c r="C126" s="13" t="inlineStr">
        <is>
          <t>CLEAN HYD/BRAKE OIL TANKS</t>
        </is>
      </c>
      <c r="D126" s="13" t="inlineStr">
        <is>
          <t>07000-12010</t>
        </is>
      </c>
      <c r="E126" s="13" t="inlineStr">
        <is>
          <t>O-RING</t>
        </is>
      </c>
      <c r="F126" s="34" t="n">
        <v>3</v>
      </c>
      <c r="G126" s="14" t="n">
        <v>1.1</v>
      </c>
      <c r="H126" s="14" t="n">
        <v>3.3</v>
      </c>
      <c r="I126" s="14" t="n">
        <v>0.8724686557950031</v>
      </c>
      <c r="J126" s="14" t="n">
        <v>2.617405967385009</v>
      </c>
      <c r="K126" s="14" t="n">
        <v>1.012</v>
      </c>
      <c r="L126" s="14" t="n">
        <v>3.036</v>
      </c>
      <c r="M126" s="61" t="n">
        <v>0.4185940326149908</v>
      </c>
      <c r="N126" s="54" t="inlineStr">
        <is>
          <t>MATCH</t>
        </is>
      </c>
      <c r="O126" s="13" t="inlineStr"/>
      <c r="P126" s="14" t="n">
        <v>1.215978260869565</v>
      </c>
      <c r="Q126" s="14" t="n">
        <v>1.1187</v>
      </c>
      <c r="R126" s="62" t="n">
        <v>0.9046214355948871</v>
      </c>
    </row>
    <row r="127">
      <c r="A127" s="13" t="n">
        <v>7</v>
      </c>
      <c r="B127" s="13" t="n">
        <v>5</v>
      </c>
      <c r="C127" s="13" t="inlineStr">
        <is>
          <t>CLEAN HYD/BRAKE OIL TANKS</t>
        </is>
      </c>
      <c r="D127" s="13" t="inlineStr">
        <is>
          <t>07000-13035</t>
        </is>
      </c>
      <c r="E127" s="13" t="inlineStr">
        <is>
          <t>O-RING</t>
        </is>
      </c>
      <c r="F127" s="34" t="n">
        <v>1</v>
      </c>
      <c r="G127" s="14" t="n">
        <v>3.17</v>
      </c>
      <c r="H127" s="14" t="n">
        <v>3.17</v>
      </c>
      <c r="I127" s="14" t="n">
        <v>2.514296035336509</v>
      </c>
      <c r="J127" s="14" t="n">
        <v>2.514296035336509</v>
      </c>
      <c r="K127" s="14" t="n">
        <v>2.9164</v>
      </c>
      <c r="L127" s="14" t="n">
        <v>2.9164</v>
      </c>
      <c r="M127" s="61" t="n">
        <v>0.4021039646634912</v>
      </c>
      <c r="N127" s="54" t="inlineStr">
        <is>
          <t>MATCH</t>
        </is>
      </c>
      <c r="O127" s="13" t="inlineStr"/>
      <c r="P127" s="14" t="n">
        <v>3.497282608695652</v>
      </c>
      <c r="Q127" s="14" t="n">
        <v>3.2175</v>
      </c>
      <c r="R127" s="62" t="n">
        <v>0.9064180264180265</v>
      </c>
    </row>
    <row r="128">
      <c r="A128" s="13" t="n">
        <v>7</v>
      </c>
      <c r="B128" s="13" t="n">
        <v>5</v>
      </c>
      <c r="C128" s="13" t="inlineStr">
        <is>
          <t>CLEAN HYD/BRAKE OIL TANKS</t>
        </is>
      </c>
      <c r="D128" s="13" t="inlineStr">
        <is>
          <t>07000-15200</t>
        </is>
      </c>
      <c r="E128" s="13" t="inlineStr">
        <is>
          <t>O-RING</t>
        </is>
      </c>
      <c r="F128" s="34" t="n">
        <v>4</v>
      </c>
      <c r="G128" s="14" t="n">
        <v>11.43</v>
      </c>
      <c r="H128" s="14" t="n">
        <v>45.72</v>
      </c>
      <c r="I128" s="14" t="n">
        <v>9.065742487033532</v>
      </c>
      <c r="J128" s="14" t="n">
        <v>36.26296994813413</v>
      </c>
      <c r="K128" s="14" t="n">
        <v>10.5156</v>
      </c>
      <c r="L128" s="14" t="n">
        <v>42.0624</v>
      </c>
      <c r="M128" s="61" t="n">
        <v>5.799430051865876</v>
      </c>
      <c r="N128" s="54" t="inlineStr">
        <is>
          <t>MATCH</t>
        </is>
      </c>
      <c r="O128" s="13" t="inlineStr"/>
      <c r="P128" s="14" t="n">
        <v>12.61173913043478</v>
      </c>
      <c r="Q128" s="14" t="n">
        <v>11.6028</v>
      </c>
      <c r="R128" s="62" t="n">
        <v>0.9062984796773192</v>
      </c>
    </row>
    <row r="129">
      <c r="A129" s="13" t="n">
        <v>7</v>
      </c>
      <c r="B129" s="13" t="n">
        <v>5</v>
      </c>
      <c r="C129" s="13" t="inlineStr">
        <is>
          <t>CLEAN HYD/BRAKE OIL TANKS</t>
        </is>
      </c>
      <c r="D129" s="13" t="inlineStr">
        <is>
          <t>07000-15240</t>
        </is>
      </c>
      <c r="E129" s="13" t="inlineStr">
        <is>
          <t>O-RING</t>
        </is>
      </c>
      <c r="F129" s="34" t="n">
        <v>1</v>
      </c>
      <c r="G129" s="14" t="n">
        <v>12.44</v>
      </c>
      <c r="H129" s="14" t="n">
        <v>12.44</v>
      </c>
      <c r="I129" s="14" t="n">
        <v>9.866827343718034</v>
      </c>
      <c r="J129" s="14" t="n">
        <v>9.866827343718034</v>
      </c>
      <c r="K129" s="14" t="n">
        <v>11.4448</v>
      </c>
      <c r="L129" s="14" t="n">
        <v>11.4448</v>
      </c>
      <c r="M129" s="61" t="n">
        <v>1.577972656281966</v>
      </c>
      <c r="N129" s="54" t="inlineStr">
        <is>
          <t>MATCH</t>
        </is>
      </c>
      <c r="O129" s="13" t="inlineStr"/>
      <c r="P129" s="14" t="n">
        <v>13.72010869565217</v>
      </c>
      <c r="Q129" s="14" t="n">
        <v>12.6225</v>
      </c>
      <c r="R129" s="62" t="n">
        <v>0.9066983561101208</v>
      </c>
    </row>
    <row r="130">
      <c r="A130" s="13" t="n">
        <v>7</v>
      </c>
      <c r="B130" s="13" t="n">
        <v>5</v>
      </c>
      <c r="C130" s="13" t="inlineStr">
        <is>
          <t>CLEAN HYD/BRAKE OIL TANKS</t>
        </is>
      </c>
      <c r="D130" s="13" t="inlineStr">
        <is>
          <t>07000-15335</t>
        </is>
      </c>
      <c r="E130" s="13" t="inlineStr">
        <is>
          <t>O-RING</t>
        </is>
      </c>
      <c r="F130" s="34" t="n">
        <v>1</v>
      </c>
      <c r="G130" s="14" t="n">
        <v>14.53</v>
      </c>
      <c r="H130" s="14" t="n">
        <v>14.53</v>
      </c>
      <c r="I130" s="14" t="n">
        <v>11.52451778972854</v>
      </c>
      <c r="J130" s="14" t="n">
        <v>11.52451778972854</v>
      </c>
      <c r="K130" s="14" t="n">
        <v>13.3676</v>
      </c>
      <c r="L130" s="14" t="n">
        <v>13.3676</v>
      </c>
      <c r="M130" s="61" t="n">
        <v>1.84308221027146</v>
      </c>
      <c r="N130" s="54" t="inlineStr">
        <is>
          <t>MATCH</t>
        </is>
      </c>
      <c r="O130" s="13" t="inlineStr"/>
      <c r="P130" s="14" t="n">
        <v>16.0229347826087</v>
      </c>
      <c r="Q130" s="14" t="n">
        <v>14.7411</v>
      </c>
      <c r="R130" s="62" t="n">
        <v>0.9068251351663036</v>
      </c>
    </row>
    <row r="131">
      <c r="A131" s="13" t="n">
        <v>7</v>
      </c>
      <c r="B131" s="13" t="n">
        <v>5</v>
      </c>
      <c r="C131" s="13" t="inlineStr">
        <is>
          <t>CLEAN HYD/BRAKE OIL TANKS</t>
        </is>
      </c>
      <c r="D131" s="13" t="inlineStr">
        <is>
          <t>07000-F2060</t>
        </is>
      </c>
      <c r="E131" s="13" t="inlineStr">
        <is>
          <t>O-RING</t>
        </is>
      </c>
      <c r="F131" s="34" t="n">
        <v>1</v>
      </c>
      <c r="G131" s="14" t="n">
        <v>15.3</v>
      </c>
      <c r="H131" s="14" t="n">
        <v>15.3</v>
      </c>
      <c r="I131" s="14" t="n">
        <v>12.13524584878504</v>
      </c>
      <c r="J131" s="14" t="n">
        <v>12.13524584878504</v>
      </c>
      <c r="K131" s="14" t="n">
        <v>14.076</v>
      </c>
      <c r="L131" s="14" t="n">
        <v>14.076</v>
      </c>
      <c r="M131" s="61" t="n">
        <v>1.940754151214957</v>
      </c>
      <c r="N131" s="54" t="inlineStr">
        <is>
          <t>MATCH</t>
        </is>
      </c>
      <c r="O131" s="13" t="inlineStr"/>
      <c r="P131" s="14" t="n">
        <v>16.87304347826087</v>
      </c>
      <c r="Q131" s="14" t="n">
        <v>15.5232</v>
      </c>
      <c r="R131" s="62" t="n">
        <v>0.9067717996289426</v>
      </c>
    </row>
    <row r="132">
      <c r="A132" s="13" t="n">
        <v>7</v>
      </c>
      <c r="B132" s="13" t="n">
        <v>5</v>
      </c>
      <c r="C132" s="13" t="inlineStr">
        <is>
          <t>CLEAN HYD/BRAKE OIL TANKS</t>
        </is>
      </c>
      <c r="D132" s="13" t="inlineStr">
        <is>
          <t>07000-F3048</t>
        </is>
      </c>
      <c r="E132" s="13" t="inlineStr">
        <is>
          <t>O-RING P</t>
        </is>
      </c>
      <c r="F132" s="34" t="n">
        <v>2</v>
      </c>
      <c r="G132" s="14" t="n">
        <v>15.06</v>
      </c>
      <c r="H132" s="14" t="n">
        <v>30.12</v>
      </c>
      <c r="I132" s="14" t="n">
        <v>11.94488905115704</v>
      </c>
      <c r="J132" s="14" t="n">
        <v>23.88977810231409</v>
      </c>
      <c r="K132" s="14" t="n">
        <v>13.8552</v>
      </c>
      <c r="L132" s="14" t="n">
        <v>27.7104</v>
      </c>
      <c r="M132" s="61" t="n">
        <v>3.820621897685918</v>
      </c>
      <c r="N132" s="54" t="inlineStr">
        <is>
          <t>MATCH</t>
        </is>
      </c>
      <c r="O132" s="13" t="inlineStr"/>
      <c r="P132" s="14" t="n">
        <v>16.60402173913043</v>
      </c>
      <c r="Q132" s="14" t="n">
        <v>15.2757</v>
      </c>
      <c r="R132" s="62" t="n">
        <v>0.9070091714291327</v>
      </c>
    </row>
    <row r="133">
      <c r="A133" s="13" t="n">
        <v>7</v>
      </c>
      <c r="B133" s="13" t="n">
        <v>5</v>
      </c>
      <c r="C133" s="13" t="inlineStr">
        <is>
          <t>CLEAN HYD/BRAKE OIL TANKS</t>
        </is>
      </c>
      <c r="D133" s="13" t="inlineStr">
        <is>
          <t>07000-F5155</t>
        </is>
      </c>
      <c r="E133" s="13" t="inlineStr">
        <is>
          <t>O-RING</t>
        </is>
      </c>
      <c r="F133" s="34" t="n">
        <v>1</v>
      </c>
      <c r="G133" s="14" t="n">
        <v>44.53</v>
      </c>
      <c r="H133" s="14" t="n">
        <v>44.53</v>
      </c>
      <c r="I133" s="14" t="n">
        <v>35.31911749322862</v>
      </c>
      <c r="J133" s="14" t="n">
        <v>35.31911749322862</v>
      </c>
      <c r="K133" s="14" t="n">
        <v>40.9676</v>
      </c>
      <c r="L133" s="14" t="n">
        <v>40.9676</v>
      </c>
      <c r="M133" s="61" t="n">
        <v>5.64848250677138</v>
      </c>
      <c r="N133" s="54" t="inlineStr">
        <is>
          <t>MATCH</t>
        </is>
      </c>
      <c r="O133" s="13" t="inlineStr"/>
      <c r="P133" s="14" t="n">
        <v>50.58684782608695</v>
      </c>
      <c r="Q133" s="14" t="n">
        <v>46.5399</v>
      </c>
      <c r="R133" s="62" t="n">
        <v>0.8802683288962805</v>
      </c>
    </row>
    <row r="134">
      <c r="A134" s="13" t="n">
        <v>7</v>
      </c>
      <c r="B134" s="13" t="n">
        <v>5</v>
      </c>
      <c r="C134" s="13" t="inlineStr">
        <is>
          <t>CLEAN HYD/BRAKE OIL TANKS</t>
        </is>
      </c>
      <c r="D134" s="13" t="inlineStr">
        <is>
          <t>07002-13334</t>
        </is>
      </c>
      <c r="E134" s="13" t="inlineStr">
        <is>
          <t>O-RING P6</t>
        </is>
      </c>
      <c r="F134" s="34" t="n">
        <v>1</v>
      </c>
      <c r="G134" s="14" t="n">
        <v>3.17</v>
      </c>
      <c r="H134" s="14" t="n">
        <v>3.17</v>
      </c>
      <c r="I134" s="14" t="n">
        <v>2.514296035336509</v>
      </c>
      <c r="J134" s="14" t="n">
        <v>2.514296035336509</v>
      </c>
      <c r="K134" s="14" t="n">
        <v>2.9164</v>
      </c>
      <c r="L134" s="14" t="n">
        <v>2.9164</v>
      </c>
      <c r="M134" s="61" t="n">
        <v>0.4021039646634912</v>
      </c>
      <c r="N134" s="54" t="inlineStr">
        <is>
          <t>MATCH</t>
        </is>
      </c>
      <c r="O134" s="13" t="inlineStr"/>
      <c r="P134" s="14" t="n">
        <v>3.497282608695652</v>
      </c>
      <c r="Q134" s="14" t="n">
        <v>3.2175</v>
      </c>
      <c r="R134" s="62" t="n">
        <v>0.9064180264180265</v>
      </c>
    </row>
    <row r="135">
      <c r="A135" s="13" t="n">
        <v>7</v>
      </c>
      <c r="B135" s="13" t="n">
        <v>5</v>
      </c>
      <c r="C135" s="13" t="inlineStr">
        <is>
          <t>CLEAN HYD/BRAKE OIL TANKS</t>
        </is>
      </c>
      <c r="D135" s="13" t="inlineStr">
        <is>
          <t>07002-15234</t>
        </is>
      </c>
      <c r="E135" s="13" t="inlineStr">
        <is>
          <t>O-RING</t>
        </is>
      </c>
      <c r="F135" s="34" t="n">
        <v>2</v>
      </c>
      <c r="G135" s="14" t="n">
        <v>3.66</v>
      </c>
      <c r="H135" s="14" t="n">
        <v>7.32</v>
      </c>
      <c r="I135" s="14" t="n">
        <v>2.90294116382701</v>
      </c>
      <c r="J135" s="14" t="n">
        <v>5.805882327654021</v>
      </c>
      <c r="K135" s="14" t="n">
        <v>3.3672</v>
      </c>
      <c r="L135" s="14" t="n">
        <v>6.734400000000001</v>
      </c>
      <c r="M135" s="61" t="n">
        <v>0.92851767234598</v>
      </c>
      <c r="N135" s="54" t="inlineStr">
        <is>
          <t>MATCH</t>
        </is>
      </c>
      <c r="O135" s="13" t="inlineStr"/>
      <c r="P135" s="14" t="n">
        <v>4.035326086956522</v>
      </c>
      <c r="Q135" s="14" t="n">
        <v>3.7125</v>
      </c>
      <c r="R135" s="62" t="n">
        <v>0.9069898989898991</v>
      </c>
    </row>
    <row r="136">
      <c r="A136" s="13" t="n">
        <v>7</v>
      </c>
      <c r="B136" s="13" t="n">
        <v>5</v>
      </c>
      <c r="C136" s="13" t="inlineStr">
        <is>
          <t>CLEAN HYD/BRAKE OIL TANKS</t>
        </is>
      </c>
      <c r="D136" s="13" t="inlineStr">
        <is>
          <t>07002-21023</t>
        </is>
      </c>
      <c r="E136" s="13" t="inlineStr">
        <is>
          <t>O-RING</t>
        </is>
      </c>
      <c r="F136" s="34" t="n">
        <v>1</v>
      </c>
      <c r="G136" s="14" t="n">
        <v>5.94</v>
      </c>
      <c r="H136" s="14" t="n">
        <v>5.94</v>
      </c>
      <c r="I136" s="14" t="n">
        <v>4.711330741293017</v>
      </c>
      <c r="J136" s="14" t="n">
        <v>4.711330741293017</v>
      </c>
      <c r="K136" s="14" t="n">
        <v>5.4648</v>
      </c>
      <c r="L136" s="14" t="n">
        <v>5.4648</v>
      </c>
      <c r="M136" s="61" t="n">
        <v>0.7534692587069838</v>
      </c>
      <c r="N136" s="54" t="inlineStr">
        <is>
          <t>MATCH</t>
        </is>
      </c>
      <c r="O136" s="13" t="inlineStr"/>
      <c r="P136" s="14" t="n">
        <v>7.09141304347826</v>
      </c>
      <c r="Q136" s="14" t="n">
        <v>6.5241</v>
      </c>
      <c r="R136" s="62" t="n">
        <v>0.8376327769347497</v>
      </c>
    </row>
    <row r="137">
      <c r="A137" s="13" t="n">
        <v>7</v>
      </c>
      <c r="B137" s="13" t="n">
        <v>5</v>
      </c>
      <c r="C137" s="13" t="inlineStr">
        <is>
          <t>CLEAN HYD/BRAKE OIL TANKS</t>
        </is>
      </c>
      <c r="D137" s="13" t="inlineStr">
        <is>
          <t>07002-22434</t>
        </is>
      </c>
      <c r="E137" s="13" t="inlineStr">
        <is>
          <t>O-RING P6</t>
        </is>
      </c>
      <c r="F137" s="34" t="n">
        <v>2</v>
      </c>
      <c r="G137" s="14" t="n">
        <v>10.44</v>
      </c>
      <c r="H137" s="14" t="n">
        <v>20.88</v>
      </c>
      <c r="I137" s="14" t="n">
        <v>8.280520696818028</v>
      </c>
      <c r="J137" s="14" t="n">
        <v>16.56104139363606</v>
      </c>
      <c r="K137" s="14" t="n">
        <v>9.604799999999999</v>
      </c>
      <c r="L137" s="14" t="n">
        <v>19.2096</v>
      </c>
      <c r="M137" s="61" t="n">
        <v>2.648558606363942</v>
      </c>
      <c r="N137" s="54" t="inlineStr">
        <is>
          <t>MATCH</t>
        </is>
      </c>
      <c r="O137" s="13" t="inlineStr"/>
      <c r="P137" s="14" t="n">
        <v>11.51413043478261</v>
      </c>
      <c r="Q137" s="14" t="n">
        <v>10.593</v>
      </c>
      <c r="R137" s="62" t="n">
        <v>0.9067119796091759</v>
      </c>
    </row>
    <row r="138">
      <c r="A138" s="13" t="n">
        <v>7</v>
      </c>
      <c r="B138" s="13" t="n">
        <v>5</v>
      </c>
      <c r="C138" s="13" t="inlineStr">
        <is>
          <t>CLEAN HYD/BRAKE OIL TANKS</t>
        </is>
      </c>
      <c r="D138" s="13" t="inlineStr">
        <is>
          <t>419-60-15370</t>
        </is>
      </c>
      <c r="E138" s="13" t="inlineStr">
        <is>
          <t>O-RING</t>
        </is>
      </c>
      <c r="F138" s="34" t="n">
        <v>6</v>
      </c>
      <c r="G138" s="14" t="n">
        <v>14.62</v>
      </c>
      <c r="H138" s="14" t="n">
        <v>87.72</v>
      </c>
      <c r="I138" s="14" t="n">
        <v>11.59590158883904</v>
      </c>
      <c r="J138" s="14" t="n">
        <v>69.57540953303425</v>
      </c>
      <c r="K138" s="14" t="n">
        <v>13.4504</v>
      </c>
      <c r="L138" s="14" t="n">
        <v>80.7024</v>
      </c>
      <c r="M138" s="61" t="n">
        <v>11.12699046696575</v>
      </c>
      <c r="N138" s="54" t="inlineStr">
        <is>
          <t>MATCH</t>
        </is>
      </c>
      <c r="O138" s="13" t="inlineStr"/>
      <c r="P138" s="14" t="n">
        <v>17.44336956521739</v>
      </c>
      <c r="Q138" s="14" t="n">
        <v>16.0479</v>
      </c>
      <c r="R138" s="62" t="n">
        <v>0.8381408159323026</v>
      </c>
    </row>
    <row r="139">
      <c r="A139" s="13" t="n">
        <v>7</v>
      </c>
      <c r="B139" s="13" t="n">
        <v>5</v>
      </c>
      <c r="C139" s="13" t="inlineStr">
        <is>
          <t>CLEAN HYD/BRAKE OIL TANKS</t>
        </is>
      </c>
      <c r="D139" s="13" t="inlineStr">
        <is>
          <t>419-60-15380</t>
        </is>
      </c>
      <c r="E139" s="13" t="inlineStr">
        <is>
          <t>O-RING</t>
        </is>
      </c>
      <c r="F139" s="34" t="n">
        <v>3</v>
      </c>
      <c r="G139" s="14" t="n">
        <v>3.81</v>
      </c>
      <c r="H139" s="14" t="n">
        <v>11.43</v>
      </c>
      <c r="I139" s="14" t="n">
        <v>3.02191416234451</v>
      </c>
      <c r="J139" s="14" t="n">
        <v>9.065742487033532</v>
      </c>
      <c r="K139" s="14" t="n">
        <v>3.5052</v>
      </c>
      <c r="L139" s="14" t="n">
        <v>10.5156</v>
      </c>
      <c r="M139" s="61" t="n">
        <v>1.449857512966469</v>
      </c>
      <c r="N139" s="54" t="inlineStr">
        <is>
          <t>MATCH</t>
        </is>
      </c>
      <c r="O139" s="13" t="inlineStr"/>
      <c r="P139" s="14" t="n">
        <v>4.498043478260869</v>
      </c>
      <c r="Q139" s="14" t="n">
        <v>4.138199999999999</v>
      </c>
      <c r="R139" s="62" t="n">
        <v>0.8470349427287227</v>
      </c>
    </row>
    <row r="140">
      <c r="A140" s="13" t="n">
        <v>7</v>
      </c>
      <c r="B140" s="13" t="n">
        <v>5</v>
      </c>
      <c r="C140" s="13" t="inlineStr">
        <is>
          <t>CLEAN HYD/BRAKE OIL TANKS</t>
        </is>
      </c>
      <c r="D140" s="13" t="inlineStr">
        <is>
          <t>419-60-15390</t>
        </is>
      </c>
      <c r="E140" s="13" t="inlineStr">
        <is>
          <t>O-RING</t>
        </is>
      </c>
      <c r="F140" s="34" t="n">
        <v>3</v>
      </c>
      <c r="G140" s="14" t="n">
        <v>3.98</v>
      </c>
      <c r="H140" s="14" t="n">
        <v>11.94</v>
      </c>
      <c r="I140" s="14" t="n">
        <v>3.156750227331011</v>
      </c>
      <c r="J140" s="14" t="n">
        <v>9.470250681993033</v>
      </c>
      <c r="K140" s="14" t="n">
        <v>3.6616</v>
      </c>
      <c r="L140" s="14" t="n">
        <v>10.9848</v>
      </c>
      <c r="M140" s="61" t="n">
        <v>1.514549318006967</v>
      </c>
      <c r="N140" s="54" t="inlineStr">
        <is>
          <t>MATCH</t>
        </is>
      </c>
      <c r="O140" s="13" t="inlineStr"/>
      <c r="P140" s="14" t="n">
        <v>4.7025</v>
      </c>
      <c r="Q140" s="14" t="n">
        <v>4.3263</v>
      </c>
      <c r="R140" s="62" t="n">
        <v>0.8463583200425306</v>
      </c>
    </row>
    <row r="141">
      <c r="A141" s="13" t="n">
        <v>7</v>
      </c>
      <c r="B141" s="13" t="n">
        <v>5</v>
      </c>
      <c r="C141" s="13" t="inlineStr">
        <is>
          <t>CLEAN HYD/BRAKE OIL TANKS</t>
        </is>
      </c>
      <c r="D141" s="13" t="inlineStr">
        <is>
          <t>427-62-24210</t>
        </is>
      </c>
      <c r="E141" s="13" t="inlineStr">
        <is>
          <t>TUBE</t>
        </is>
      </c>
      <c r="F141" s="34" t="n">
        <v>1</v>
      </c>
      <c r="G141" s="14" t="n">
        <v>491.16</v>
      </c>
      <c r="H141" s="14" t="n">
        <v>491.16</v>
      </c>
      <c r="I141" s="14" t="n">
        <v>389.5651863457034</v>
      </c>
      <c r="J141" s="14" t="n">
        <v>389.5651863457034</v>
      </c>
      <c r="K141" s="14" t="n">
        <v>451.8672</v>
      </c>
      <c r="L141" s="14" t="n">
        <v>451.8672</v>
      </c>
      <c r="M141" s="61" t="n">
        <v>62.30201365429662</v>
      </c>
      <c r="N141" s="54" t="inlineStr">
        <is>
          <t>MATCH</t>
        </is>
      </c>
      <c r="O141" s="13" t="inlineStr"/>
      <c r="P141" s="14" t="n">
        <v>607.806195652174</v>
      </c>
      <c r="Q141" s="14" t="n">
        <v>559.1817000000001</v>
      </c>
      <c r="R141" s="62" t="n">
        <v>0.8080865307287416</v>
      </c>
    </row>
    <row r="142">
      <c r="A142" s="13" t="n">
        <v>7</v>
      </c>
      <c r="B142" s="13" t="n">
        <v>5</v>
      </c>
      <c r="C142" s="13" t="inlineStr">
        <is>
          <t>CLEAN HYD/BRAKE OIL TANKS</t>
        </is>
      </c>
      <c r="D142" s="13" t="inlineStr">
        <is>
          <t>FI</t>
        </is>
      </c>
      <c r="E142" s="13" t="inlineStr">
        <is>
          <t>FREIGHT IN</t>
        </is>
      </c>
      <c r="F142" s="34" t="n">
        <v>1</v>
      </c>
      <c r="G142" s="14" t="n">
        <v>34.71</v>
      </c>
      <c r="H142" s="14" t="n">
        <v>34.71</v>
      </c>
      <c r="I142" s="14" t="n">
        <v>27.5303518569496</v>
      </c>
      <c r="J142" s="14" t="n">
        <v>27.5303518569496</v>
      </c>
      <c r="K142" s="14" t="n">
        <v>31.9332</v>
      </c>
      <c r="L142" s="14" t="n">
        <v>31.9332</v>
      </c>
      <c r="M142" s="61" t="n">
        <v>4.402848143050406</v>
      </c>
      <c r="N142" s="63" t="inlineStr">
        <is>
          <t>NO MATCH</t>
        </is>
      </c>
      <c r="O142" s="13" t="inlineStr">
        <is>
          <t>Freight-in</t>
        </is>
      </c>
      <c r="P142" s="14" t="n"/>
      <c r="Q142" s="14" t="n"/>
      <c r="R142" s="62" t="n"/>
    </row>
    <row r="143">
      <c r="A143" s="64" t="n">
        <v>8</v>
      </c>
      <c r="B143" s="64" t="n">
        <v>6</v>
      </c>
      <c r="C143" s="64" t="inlineStr">
        <is>
          <t>REPLACE HYD PUMPS/MOTORS</t>
        </is>
      </c>
      <c r="D143" s="64" t="inlineStr">
        <is>
          <t>02896-11009</t>
        </is>
      </c>
      <c r="E143" s="64" t="inlineStr">
        <is>
          <t>O-RING P60</t>
        </is>
      </c>
      <c r="F143" s="65" t="n">
        <v>2</v>
      </c>
      <c r="G143" s="66" t="n">
        <v>1.59</v>
      </c>
      <c r="H143" s="66" t="n">
        <v>3.18</v>
      </c>
      <c r="I143" s="66" t="n">
        <v>1.261113784285504</v>
      </c>
      <c r="J143" s="66" t="n">
        <v>2.522227568571009</v>
      </c>
      <c r="K143" s="66" t="n">
        <v>1.4628</v>
      </c>
      <c r="L143" s="66" t="n">
        <v>2.9256</v>
      </c>
      <c r="M143" s="67" t="n">
        <v>0.4033724314289913</v>
      </c>
      <c r="N143" s="68" t="inlineStr">
        <is>
          <t>MATCH</t>
        </is>
      </c>
      <c r="O143" s="64" t="inlineStr"/>
      <c r="P143" s="66" t="n">
        <v>1.872391304347826</v>
      </c>
      <c r="Q143" s="66" t="n">
        <v>1.7226</v>
      </c>
      <c r="R143" s="69" t="n">
        <v>0.8491814698711252</v>
      </c>
    </row>
    <row r="144">
      <c r="A144" s="64" t="n">
        <v>8</v>
      </c>
      <c r="B144" s="64" t="n">
        <v>6</v>
      </c>
      <c r="C144" s="64" t="inlineStr">
        <is>
          <t>REPLACE HYD PUMPS/MOTORS</t>
        </is>
      </c>
      <c r="D144" s="64" t="inlineStr">
        <is>
          <t>02896-11012</t>
        </is>
      </c>
      <c r="E144" s="64" t="inlineStr">
        <is>
          <t>O-RING</t>
        </is>
      </c>
      <c r="F144" s="65" t="n">
        <v>6</v>
      </c>
      <c r="G144" s="66" t="n">
        <v>1.48</v>
      </c>
      <c r="H144" s="66" t="n">
        <v>8.880000000000001</v>
      </c>
      <c r="I144" s="66" t="n">
        <v>1.173866918706004</v>
      </c>
      <c r="J144" s="66" t="n">
        <v>7.043201512236025</v>
      </c>
      <c r="K144" s="66" t="n">
        <v>1.3616</v>
      </c>
      <c r="L144" s="66" t="n">
        <v>8.169600000000001</v>
      </c>
      <c r="M144" s="67" t="n">
        <v>1.126398487763976</v>
      </c>
      <c r="N144" s="68" t="inlineStr">
        <is>
          <t>MATCH</t>
        </is>
      </c>
      <c r="O144" s="64" t="inlineStr"/>
      <c r="P144" s="66" t="n">
        <v>1.764782608695652</v>
      </c>
      <c r="Q144" s="66" t="n">
        <v>1.6236</v>
      </c>
      <c r="R144" s="69" t="n">
        <v>0.8386302044838632</v>
      </c>
    </row>
    <row r="145">
      <c r="A145" s="64" t="n">
        <v>8</v>
      </c>
      <c r="B145" s="64" t="n">
        <v>6</v>
      </c>
      <c r="C145" s="64" t="inlineStr">
        <is>
          <t>REPLACE HYD PUMPS/MOTORS</t>
        </is>
      </c>
      <c r="D145" s="64" t="inlineStr">
        <is>
          <t>02896-21008</t>
        </is>
      </c>
      <c r="E145" s="64" t="inlineStr">
        <is>
          <t>O-RING</t>
        </is>
      </c>
      <c r="F145" s="65" t="n">
        <v>6</v>
      </c>
      <c r="G145" s="66" t="n">
        <v>6.26</v>
      </c>
      <c r="H145" s="66" t="n">
        <v>37.56</v>
      </c>
      <c r="I145" s="66" t="n">
        <v>4.965139804797017</v>
      </c>
      <c r="J145" s="66" t="n">
        <v>29.79083882878211</v>
      </c>
      <c r="K145" s="66" t="n">
        <v>5.7592</v>
      </c>
      <c r="L145" s="66" t="n">
        <v>34.55520000000001</v>
      </c>
      <c r="M145" s="67" t="n">
        <v>4.764361171217899</v>
      </c>
      <c r="N145" s="68" t="inlineStr">
        <is>
          <t>MATCH</t>
        </is>
      </c>
      <c r="O145" s="64" t="inlineStr"/>
      <c r="P145" s="66" t="n">
        <v>7.392717391304348</v>
      </c>
      <c r="Q145" s="66" t="n">
        <v>6.8013</v>
      </c>
      <c r="R145" s="69" t="n">
        <v>0.8467792921941393</v>
      </c>
    </row>
    <row r="146">
      <c r="A146" s="64" t="n">
        <v>8</v>
      </c>
      <c r="B146" s="64" t="n">
        <v>6</v>
      </c>
      <c r="C146" s="64" t="inlineStr">
        <is>
          <t>REPLACE HYD PUMPS/MOTORS</t>
        </is>
      </c>
      <c r="D146" s="64" t="inlineStr">
        <is>
          <t>CR704-32-30020</t>
        </is>
      </c>
      <c r="E146" s="64" t="inlineStr">
        <is>
          <t>PUMP HYD GEAR</t>
        </is>
      </c>
      <c r="F146" s="65" t="n">
        <v>-1</v>
      </c>
      <c r="G146" s="66" t="n">
        <v>2379.3</v>
      </c>
      <c r="H146" s="66" t="n">
        <v>-2379.3</v>
      </c>
      <c r="I146" s="66" t="n">
        <v>1887.149702484592</v>
      </c>
      <c r="J146" s="66" t="n">
        <v>-1887.149702484592</v>
      </c>
      <c r="K146" s="66" t="n">
        <v>2188.956</v>
      </c>
      <c r="L146" s="66" t="n">
        <v>-2188.956</v>
      </c>
      <c r="M146" s="67" t="n">
        <v>-301.8062975154085</v>
      </c>
      <c r="N146" s="63" t="inlineStr">
        <is>
          <t>NO MATCH</t>
        </is>
      </c>
      <c r="O146" s="64" t="inlineStr">
        <is>
          <t>Core charge / credit</t>
        </is>
      </c>
      <c r="P146" s="66" t="n"/>
      <c r="Q146" s="66" t="n"/>
      <c r="R146" s="69" t="n"/>
    </row>
    <row r="147">
      <c r="A147" s="64" t="n">
        <v>8</v>
      </c>
      <c r="B147" s="64" t="n">
        <v>6</v>
      </c>
      <c r="C147" s="64" t="inlineStr">
        <is>
          <t>REPLACE HYD PUMPS/MOTORS</t>
        </is>
      </c>
      <c r="D147" s="64" t="inlineStr">
        <is>
          <t>CR704-32-30020</t>
        </is>
      </c>
      <c r="E147" s="64" t="inlineStr">
        <is>
          <t>PUMP HYD GEAR</t>
        </is>
      </c>
      <c r="F147" s="65" t="n">
        <v>1</v>
      </c>
      <c r="G147" s="66" t="n">
        <v>2379.3</v>
      </c>
      <c r="H147" s="66" t="n">
        <v>2379.3</v>
      </c>
      <c r="I147" s="66" t="n">
        <v>1887.149702484592</v>
      </c>
      <c r="J147" s="66" t="n">
        <v>1887.149702484592</v>
      </c>
      <c r="K147" s="66" t="n">
        <v>2188.956</v>
      </c>
      <c r="L147" s="66" t="n">
        <v>2188.956</v>
      </c>
      <c r="M147" s="67" t="n">
        <v>301.8062975154085</v>
      </c>
      <c r="N147" s="63" t="inlineStr">
        <is>
          <t>NO MATCH</t>
        </is>
      </c>
      <c r="O147" s="64" t="inlineStr">
        <is>
          <t>Core charge / credit</t>
        </is>
      </c>
      <c r="P147" s="66" t="n"/>
      <c r="Q147" s="66" t="n"/>
      <c r="R147" s="69" t="n"/>
    </row>
    <row r="148">
      <c r="A148" s="64" t="n">
        <v>8</v>
      </c>
      <c r="B148" s="64" t="n">
        <v>6</v>
      </c>
      <c r="C148" s="64" t="inlineStr">
        <is>
          <t>REPLACE HYD PUMPS/MOTORS</t>
        </is>
      </c>
      <c r="D148" s="64" t="inlineStr">
        <is>
          <t>CR705-58-45030</t>
        </is>
      </c>
      <c r="E148" s="64" t="inlineStr">
        <is>
          <t>PUMP ASSY</t>
        </is>
      </c>
      <c r="F148" s="65" t="n">
        <v>-1</v>
      </c>
      <c r="G148" s="66" t="n">
        <v>1914.78</v>
      </c>
      <c r="H148" s="66" t="n">
        <v>-1914.78</v>
      </c>
      <c r="I148" s="66" t="n">
        <v>1518.714120675596</v>
      </c>
      <c r="J148" s="66" t="n">
        <v>-1518.714120675596</v>
      </c>
      <c r="K148" s="66" t="n">
        <v>1761.5976</v>
      </c>
      <c r="L148" s="66" t="n">
        <v>-1761.5976</v>
      </c>
      <c r="M148" s="67" t="n">
        <v>-242.8834793244037</v>
      </c>
      <c r="N148" s="63" t="inlineStr">
        <is>
          <t>NO MATCH</t>
        </is>
      </c>
      <c r="O148" s="64" t="inlineStr">
        <is>
          <t>Core charge / credit</t>
        </is>
      </c>
      <c r="P148" s="66" t="n"/>
      <c r="Q148" s="66" t="n"/>
      <c r="R148" s="69" t="n"/>
    </row>
    <row r="149">
      <c r="A149" s="64" t="n">
        <v>8</v>
      </c>
      <c r="B149" s="64" t="n">
        <v>6</v>
      </c>
      <c r="C149" s="64" t="inlineStr">
        <is>
          <t>REPLACE HYD PUMPS/MOTORS</t>
        </is>
      </c>
      <c r="D149" s="64" t="inlineStr">
        <is>
          <t>CR705-58-45030</t>
        </is>
      </c>
      <c r="E149" s="64" t="inlineStr">
        <is>
          <t>PUMP ASSY</t>
        </is>
      </c>
      <c r="F149" s="65" t="n">
        <v>1</v>
      </c>
      <c r="G149" s="66" t="n">
        <v>1914.78</v>
      </c>
      <c r="H149" s="66" t="n">
        <v>1914.78</v>
      </c>
      <c r="I149" s="66" t="n">
        <v>1518.714120675596</v>
      </c>
      <c r="J149" s="66" t="n">
        <v>1518.714120675596</v>
      </c>
      <c r="K149" s="66" t="n">
        <v>1761.5976</v>
      </c>
      <c r="L149" s="66" t="n">
        <v>1761.5976</v>
      </c>
      <c r="M149" s="67" t="n">
        <v>242.8834793244037</v>
      </c>
      <c r="N149" s="63" t="inlineStr">
        <is>
          <t>NO MATCH</t>
        </is>
      </c>
      <c r="O149" s="64" t="inlineStr">
        <is>
          <t>Core charge / credit</t>
        </is>
      </c>
      <c r="P149" s="66" t="n"/>
      <c r="Q149" s="66" t="n"/>
      <c r="R149" s="69" t="n"/>
    </row>
    <row r="150">
      <c r="A150" s="64" t="n">
        <v>8</v>
      </c>
      <c r="B150" s="64" t="n">
        <v>6</v>
      </c>
      <c r="C150" s="64" t="inlineStr">
        <is>
          <t>REPLACE HYD PUMPS/MOTORS</t>
        </is>
      </c>
      <c r="D150" s="64" t="inlineStr">
        <is>
          <t>CR708-2L-00352</t>
        </is>
      </c>
      <c r="E150" s="64" t="inlineStr">
        <is>
          <t>PUMP,HYD PISTON</t>
        </is>
      </c>
      <c r="F150" s="65" t="n">
        <v>-1</v>
      </c>
      <c r="G150" s="66" t="n">
        <v>5637.45</v>
      </c>
      <c r="H150" s="66" t="n">
        <v>-5637.45</v>
      </c>
      <c r="I150" s="66" t="n">
        <v>4471.362203283218</v>
      </c>
      <c r="J150" s="66" t="n">
        <v>-4471.362203283218</v>
      </c>
      <c r="K150" s="66" t="n">
        <v>5186.454</v>
      </c>
      <c r="L150" s="66" t="n">
        <v>-5186.454</v>
      </c>
      <c r="M150" s="67" t="n">
        <v>-715.0917967167816</v>
      </c>
      <c r="N150" s="63" t="inlineStr">
        <is>
          <t>NO MATCH</t>
        </is>
      </c>
      <c r="O150" s="64" t="inlineStr">
        <is>
          <t>Core charge / credit</t>
        </is>
      </c>
      <c r="P150" s="66" t="n"/>
      <c r="Q150" s="66" t="n"/>
      <c r="R150" s="69" t="n"/>
    </row>
    <row r="151">
      <c r="A151" s="64" t="n">
        <v>8</v>
      </c>
      <c r="B151" s="64" t="n">
        <v>6</v>
      </c>
      <c r="C151" s="64" t="inlineStr">
        <is>
          <t>REPLACE HYD PUMPS/MOTORS</t>
        </is>
      </c>
      <c r="D151" s="64" t="inlineStr">
        <is>
          <t>CR708-2L-00352</t>
        </is>
      </c>
      <c r="E151" s="64" t="inlineStr">
        <is>
          <t>PUMP,HYD PISTON</t>
        </is>
      </c>
      <c r="F151" s="65" t="n">
        <v>1</v>
      </c>
      <c r="G151" s="66" t="n">
        <v>5637.45</v>
      </c>
      <c r="H151" s="66" t="n">
        <v>5637.45</v>
      </c>
      <c r="I151" s="66" t="n">
        <v>4471.362203283218</v>
      </c>
      <c r="J151" s="66" t="n">
        <v>4471.362203283218</v>
      </c>
      <c r="K151" s="66" t="n">
        <v>5186.454</v>
      </c>
      <c r="L151" s="66" t="n">
        <v>5186.454</v>
      </c>
      <c r="M151" s="67" t="n">
        <v>715.0917967167816</v>
      </c>
      <c r="N151" s="63" t="inlineStr">
        <is>
          <t>NO MATCH</t>
        </is>
      </c>
      <c r="O151" s="64" t="inlineStr">
        <is>
          <t>Core charge / credit</t>
        </is>
      </c>
      <c r="P151" s="66" t="n"/>
      <c r="Q151" s="66" t="n"/>
      <c r="R151" s="69" t="n"/>
    </row>
    <row r="152">
      <c r="A152" s="64" t="n">
        <v>8</v>
      </c>
      <c r="B152" s="64" t="n">
        <v>6</v>
      </c>
      <c r="C152" s="64" t="inlineStr">
        <is>
          <t>REPLACE HYD PUMPS/MOTORS</t>
        </is>
      </c>
      <c r="D152" s="64" t="inlineStr">
        <is>
          <t>CR708-2L-00362</t>
        </is>
      </c>
      <c r="E152" s="64" t="inlineStr">
        <is>
          <t>PUMP,HYD PISTON</t>
        </is>
      </c>
      <c r="F152" s="65" t="n">
        <v>-1</v>
      </c>
      <c r="G152" s="66" t="n">
        <v>4874.53</v>
      </c>
      <c r="H152" s="66" t="n">
        <v>-4874.53</v>
      </c>
      <c r="I152" s="66" t="n">
        <v>3866.249669756742</v>
      </c>
      <c r="J152" s="66" t="n">
        <v>-3866.249669756742</v>
      </c>
      <c r="K152" s="66" t="n">
        <v>4484.5676</v>
      </c>
      <c r="L152" s="66" t="n">
        <v>-4484.5676</v>
      </c>
      <c r="M152" s="67" t="n">
        <v>-618.3179302432586</v>
      </c>
      <c r="N152" s="63" t="inlineStr">
        <is>
          <t>NO MATCH</t>
        </is>
      </c>
      <c r="O152" s="64" t="inlineStr">
        <is>
          <t>Core charge / credit</t>
        </is>
      </c>
      <c r="P152" s="66" t="n"/>
      <c r="Q152" s="66" t="n"/>
      <c r="R152" s="69" t="n"/>
    </row>
    <row r="153">
      <c r="A153" s="64" t="n">
        <v>8</v>
      </c>
      <c r="B153" s="64" t="n">
        <v>6</v>
      </c>
      <c r="C153" s="64" t="inlineStr">
        <is>
          <t>REPLACE HYD PUMPS/MOTORS</t>
        </is>
      </c>
      <c r="D153" s="64" t="inlineStr">
        <is>
          <t>CR708-2L-00362</t>
        </is>
      </c>
      <c r="E153" s="64" t="inlineStr">
        <is>
          <t>PUMP HYD PISTON</t>
        </is>
      </c>
      <c r="F153" s="65" t="n">
        <v>1</v>
      </c>
      <c r="G153" s="66" t="n">
        <v>4874.53</v>
      </c>
      <c r="H153" s="66" t="n">
        <v>4874.53</v>
      </c>
      <c r="I153" s="66" t="n">
        <v>3866.249669756742</v>
      </c>
      <c r="J153" s="66" t="n">
        <v>3866.249669756742</v>
      </c>
      <c r="K153" s="66" t="n">
        <v>4484.5676</v>
      </c>
      <c r="L153" s="66" t="n">
        <v>4484.5676</v>
      </c>
      <c r="M153" s="67" t="n">
        <v>618.3179302432586</v>
      </c>
      <c r="N153" s="63" t="inlineStr">
        <is>
          <t>NO MATCH</t>
        </is>
      </c>
      <c r="O153" s="64" t="inlineStr">
        <is>
          <t>Core charge / credit</t>
        </is>
      </c>
      <c r="P153" s="66" t="n"/>
      <c r="Q153" s="66" t="n"/>
      <c r="R153" s="69" t="n"/>
    </row>
    <row r="154">
      <c r="A154" s="64" t="n">
        <v>8</v>
      </c>
      <c r="B154" s="64" t="n">
        <v>6</v>
      </c>
      <c r="C154" s="64" t="inlineStr">
        <is>
          <t>REPLACE HYD PUMPS/MOTORS</t>
        </is>
      </c>
      <c r="D154" s="64" t="inlineStr">
        <is>
          <t>CR708-4L-00931</t>
        </is>
      </c>
      <c r="E154" s="64" t="inlineStr">
        <is>
          <t>CORE</t>
        </is>
      </c>
      <c r="F154" s="65" t="n">
        <v>-1</v>
      </c>
      <c r="G154" s="66" t="n">
        <v>3652.47</v>
      </c>
      <c r="H154" s="66" t="n">
        <v>-3652.47</v>
      </c>
      <c r="I154" s="66" t="n">
        <v>2896.968719301432</v>
      </c>
      <c r="J154" s="66" t="n">
        <v>-2896.968719301432</v>
      </c>
      <c r="K154" s="66" t="n">
        <v>3360.2724</v>
      </c>
      <c r="L154" s="66" t="n">
        <v>-3360.2724</v>
      </c>
      <c r="M154" s="67" t="n">
        <v>-463.3036806985683</v>
      </c>
      <c r="N154" s="63" t="inlineStr">
        <is>
          <t>NO MATCH</t>
        </is>
      </c>
      <c r="O154" s="64" t="inlineStr">
        <is>
          <t>Core charge / credit</t>
        </is>
      </c>
      <c r="P154" s="66" t="n"/>
      <c r="Q154" s="66" t="n"/>
      <c r="R154" s="69" t="n"/>
    </row>
    <row r="155">
      <c r="A155" s="64" t="n">
        <v>8</v>
      </c>
      <c r="B155" s="64" t="n">
        <v>6</v>
      </c>
      <c r="C155" s="64" t="inlineStr">
        <is>
          <t>REPLACE HYD PUMPS/MOTORS</t>
        </is>
      </c>
      <c r="D155" s="64" t="inlineStr">
        <is>
          <t>CR708-4L-00931</t>
        </is>
      </c>
      <c r="E155" s="64" t="inlineStr">
        <is>
          <t>CORE</t>
        </is>
      </c>
      <c r="F155" s="65" t="n">
        <v>1</v>
      </c>
      <c r="G155" s="66" t="n">
        <v>3652.47</v>
      </c>
      <c r="H155" s="66" t="n">
        <v>3652.47</v>
      </c>
      <c r="I155" s="66" t="n">
        <v>2896.968719301432</v>
      </c>
      <c r="J155" s="66" t="n">
        <v>2896.968719301432</v>
      </c>
      <c r="K155" s="66" t="n">
        <v>3360.2724</v>
      </c>
      <c r="L155" s="66" t="n">
        <v>3360.2724</v>
      </c>
      <c r="M155" s="67" t="n">
        <v>463.3036806985683</v>
      </c>
      <c r="N155" s="63" t="inlineStr">
        <is>
          <t>NO MATCH</t>
        </is>
      </c>
      <c r="O155" s="64" t="inlineStr">
        <is>
          <t>Core charge / credit</t>
        </is>
      </c>
      <c r="P155" s="66" t="n"/>
      <c r="Q155" s="66" t="n"/>
      <c r="R155" s="69" t="n"/>
    </row>
    <row r="156">
      <c r="A156" s="64" t="n">
        <v>8</v>
      </c>
      <c r="B156" s="64" t="n">
        <v>6</v>
      </c>
      <c r="C156" s="64" t="inlineStr">
        <is>
          <t>REPLACE HYD PUMPS/MOTORS</t>
        </is>
      </c>
      <c r="D156" s="64" t="inlineStr">
        <is>
          <t>FI</t>
        </is>
      </c>
      <c r="E156" s="64" t="inlineStr">
        <is>
          <t>FREIGHT IN</t>
        </is>
      </c>
      <c r="F156" s="65" t="n">
        <v>3</v>
      </c>
      <c r="G156" s="66" t="n">
        <v>21.03</v>
      </c>
      <c r="H156" s="66" t="n">
        <v>63.1</v>
      </c>
      <c r="I156" s="66" t="n">
        <v>16.68001439215356</v>
      </c>
      <c r="J156" s="66" t="n">
        <v>50.04797470969518</v>
      </c>
      <c r="K156" s="66" t="n">
        <v>19.3476</v>
      </c>
      <c r="L156" s="66" t="n">
        <v>58.05200000000001</v>
      </c>
      <c r="M156" s="67" t="n">
        <v>8.004025290304831</v>
      </c>
      <c r="N156" s="63" t="inlineStr">
        <is>
          <t>NO MATCH</t>
        </is>
      </c>
      <c r="O156" s="64" t="inlineStr">
        <is>
          <t>Freight-in</t>
        </is>
      </c>
      <c r="P156" s="66" t="n"/>
      <c r="Q156" s="66" t="n"/>
      <c r="R156" s="69" t="n"/>
    </row>
    <row r="157">
      <c r="A157" s="64" t="n">
        <v>8</v>
      </c>
      <c r="B157" s="64" t="n">
        <v>6</v>
      </c>
      <c r="C157" s="64" t="inlineStr">
        <is>
          <t>REPLACE HYD PUMPS/MOTORS</t>
        </is>
      </c>
      <c r="D157" s="64" t="inlineStr">
        <is>
          <t>R704-32-30020</t>
        </is>
      </c>
      <c r="E157" s="64" t="inlineStr">
        <is>
          <t>PUMP HYD GEA</t>
        </is>
      </c>
      <c r="F157" s="65" t="n">
        <v>1</v>
      </c>
      <c r="G157" s="66" t="n">
        <v>7397.72</v>
      </c>
      <c r="H157" s="66" t="n">
        <v>7397.72</v>
      </c>
      <c r="I157" s="66" t="n">
        <v>5867.526203952555</v>
      </c>
      <c r="J157" s="66" t="n">
        <v>5867.526203952555</v>
      </c>
      <c r="K157" s="66" t="n">
        <v>6805.902400000001</v>
      </c>
      <c r="L157" s="66" t="n">
        <v>6805.902400000001</v>
      </c>
      <c r="M157" s="67" t="n">
        <v>938.3761960474458</v>
      </c>
      <c r="N157" s="68" t="inlineStr">
        <is>
          <t>MATCH</t>
        </is>
      </c>
      <c r="O157" s="64" t="inlineStr"/>
      <c r="P157" s="66" t="n">
        <v>11087.7202173913</v>
      </c>
      <c r="Q157" s="66" t="n">
        <v>10200.7026</v>
      </c>
      <c r="R157" s="69" t="n">
        <v>0.6671993750704976</v>
      </c>
    </row>
    <row r="158">
      <c r="A158" s="64" t="n">
        <v>8</v>
      </c>
      <c r="B158" s="64" t="n">
        <v>6</v>
      </c>
      <c r="C158" s="64" t="inlineStr">
        <is>
          <t>REPLACE HYD PUMPS/MOTORS</t>
        </is>
      </c>
      <c r="D158" s="64" t="inlineStr">
        <is>
          <t>R705-58-45030</t>
        </is>
      </c>
      <c r="E158" s="64" t="inlineStr">
        <is>
          <t>PUMP ASSY</t>
        </is>
      </c>
      <c r="F158" s="65" t="n">
        <v>1</v>
      </c>
      <c r="G158" s="66" t="n">
        <v>11962.5</v>
      </c>
      <c r="H158" s="66" t="n">
        <v>11962.5</v>
      </c>
      <c r="I158" s="66" t="n">
        <v>9488.096631770659</v>
      </c>
      <c r="J158" s="66" t="n">
        <v>9488.096631770659</v>
      </c>
      <c r="K158" s="66" t="n">
        <v>11005.5</v>
      </c>
      <c r="L158" s="66" t="n">
        <v>11005.5</v>
      </c>
      <c r="M158" s="67" t="n">
        <v>1517.403368229341</v>
      </c>
      <c r="N158" s="68" t="inlineStr">
        <is>
          <t>MATCH</t>
        </is>
      </c>
      <c r="O158" s="64" t="inlineStr"/>
      <c r="P158" s="66" t="n">
        <v>15849.70630434783</v>
      </c>
      <c r="Q158" s="66" t="n">
        <v>14581.7298</v>
      </c>
      <c r="R158" s="69" t="n">
        <v>0.7547458464084281</v>
      </c>
    </row>
    <row r="159">
      <c r="A159" s="64" t="n">
        <v>8</v>
      </c>
      <c r="B159" s="64" t="n">
        <v>6</v>
      </c>
      <c r="C159" s="64" t="inlineStr">
        <is>
          <t>REPLACE HYD PUMPS/MOTORS</t>
        </is>
      </c>
      <c r="D159" s="64" t="inlineStr">
        <is>
          <t>R708-2L-00352</t>
        </is>
      </c>
      <c r="E159" s="64" t="inlineStr">
        <is>
          <t>PUMP,HYD PISTON</t>
        </is>
      </c>
      <c r="F159" s="65" t="n">
        <v>1</v>
      </c>
      <c r="G159" s="66" t="n">
        <v>17577.84</v>
      </c>
      <c r="H159" s="66" t="n">
        <v>17577.84</v>
      </c>
      <c r="I159" s="66" t="n">
        <v>13941.9222150724</v>
      </c>
      <c r="J159" s="66" t="n">
        <v>13941.9222150724</v>
      </c>
      <c r="K159" s="66" t="n">
        <v>16171.6128</v>
      </c>
      <c r="L159" s="66" t="n">
        <v>16171.6128</v>
      </c>
      <c r="M159" s="67" t="n">
        <v>2229.690584927605</v>
      </c>
      <c r="N159" s="68" t="inlineStr">
        <is>
          <t>MATCH</t>
        </is>
      </c>
      <c r="O159" s="64" t="inlineStr"/>
      <c r="P159" s="66" t="n">
        <v>26328.44739130435</v>
      </c>
      <c r="Q159" s="66" t="n">
        <v>24222.1716</v>
      </c>
      <c r="R159" s="69" t="n">
        <v>0.66763678612532</v>
      </c>
    </row>
    <row r="160">
      <c r="A160" s="64" t="n">
        <v>8</v>
      </c>
      <c r="B160" s="64" t="n">
        <v>6</v>
      </c>
      <c r="C160" s="64" t="inlineStr">
        <is>
          <t>REPLACE HYD PUMPS/MOTORS</t>
        </is>
      </c>
      <c r="D160" s="64" t="inlineStr">
        <is>
          <t>R708-2L-00362</t>
        </is>
      </c>
      <c r="E160" s="64" t="inlineStr">
        <is>
          <t>PUMP HYD PIS</t>
        </is>
      </c>
      <c r="F160" s="65" t="n">
        <v>1</v>
      </c>
      <c r="G160" s="66" t="n">
        <v>17577.3</v>
      </c>
      <c r="H160" s="66" t="n">
        <v>17577.3</v>
      </c>
      <c r="I160" s="66" t="n">
        <v>13941.49391227773</v>
      </c>
      <c r="J160" s="66" t="n">
        <v>13941.49391227773</v>
      </c>
      <c r="K160" s="66" t="n">
        <v>16171.116</v>
      </c>
      <c r="L160" s="66" t="n">
        <v>16171.116</v>
      </c>
      <c r="M160" s="67" t="n">
        <v>2229.622087722266</v>
      </c>
      <c r="N160" s="68" t="inlineStr">
        <is>
          <t>MATCH</t>
        </is>
      </c>
      <c r="O160" s="64" t="inlineStr"/>
      <c r="P160" s="66" t="n">
        <v>25506.84423913044</v>
      </c>
      <c r="Q160" s="66" t="n">
        <v>23466.2967</v>
      </c>
      <c r="R160" s="69" t="n">
        <v>0.6891209212402056</v>
      </c>
    </row>
    <row r="161">
      <c r="A161" s="64" t="n">
        <v>8</v>
      </c>
      <c r="B161" s="64" t="n">
        <v>6</v>
      </c>
      <c r="C161" s="64" t="inlineStr">
        <is>
          <t>REPLACE HYD PUMPS/MOTORS</t>
        </is>
      </c>
      <c r="D161" s="64" t="inlineStr">
        <is>
          <t>R708-4L-00931</t>
        </is>
      </c>
      <c r="E161" s="64" t="inlineStr">
        <is>
          <t>PUMP-HYD PIS</t>
        </is>
      </c>
      <c r="F161" s="65" t="n">
        <v>1</v>
      </c>
      <c r="G161" s="66" t="n">
        <v>12014.88</v>
      </c>
      <c r="H161" s="66" t="n">
        <v>12014.88</v>
      </c>
      <c r="I161" s="66" t="n">
        <v>9529.642002852968</v>
      </c>
      <c r="J161" s="66" t="n">
        <v>9529.642002852968</v>
      </c>
      <c r="K161" s="66" t="n">
        <v>11053.6896</v>
      </c>
      <c r="L161" s="66" t="n">
        <v>11053.6896</v>
      </c>
      <c r="M161" s="67" t="n">
        <v>1524.047597147031</v>
      </c>
      <c r="N161" s="68" t="inlineStr">
        <is>
          <t>MATCH</t>
        </is>
      </c>
      <c r="O161" s="64" t="inlineStr"/>
      <c r="P161" s="66" t="n">
        <v>17779.98032608696</v>
      </c>
      <c r="Q161" s="66" t="n">
        <v>16357.5819</v>
      </c>
      <c r="R161" s="69" t="n">
        <v>0.675753278667674</v>
      </c>
    </row>
    <row r="162">
      <c r="A162" s="64" t="n">
        <v>9</v>
      </c>
      <c r="B162" s="64" t="n">
        <v>6</v>
      </c>
      <c r="C162" s="64" t="inlineStr">
        <is>
          <t>REPLACE HYD PUMPS/MOTORS</t>
        </is>
      </c>
      <c r="D162" s="64" t="inlineStr">
        <is>
          <t>02896-21015</t>
        </is>
      </c>
      <c r="E162" s="64" t="inlineStr">
        <is>
          <t>O-RING P60</t>
        </is>
      </c>
      <c r="F162" s="65" t="n">
        <v>6</v>
      </c>
      <c r="G162" s="66" t="n">
        <v>6.26</v>
      </c>
      <c r="H162" s="66" t="n">
        <v>37.56</v>
      </c>
      <c r="I162" s="66" t="n">
        <v>4.965139804797017</v>
      </c>
      <c r="J162" s="66" t="n">
        <v>29.79083882878211</v>
      </c>
      <c r="K162" s="66" t="n">
        <v>5.7592</v>
      </c>
      <c r="L162" s="66" t="n">
        <v>34.55520000000001</v>
      </c>
      <c r="M162" s="67" t="n">
        <v>4.764361171217899</v>
      </c>
      <c r="N162" s="68" t="inlineStr">
        <is>
          <t>MATCH</t>
        </is>
      </c>
      <c r="O162" s="64" t="inlineStr"/>
      <c r="P162" s="66" t="n">
        <v>7.392717391304348</v>
      </c>
      <c r="Q162" s="66" t="n">
        <v>6.8013</v>
      </c>
      <c r="R162" s="69" t="n">
        <v>0.8467792921941393</v>
      </c>
    </row>
    <row r="163">
      <c r="A163" s="64" t="n">
        <v>9</v>
      </c>
      <c r="B163" s="64" t="n">
        <v>6</v>
      </c>
      <c r="C163" s="64" t="inlineStr">
        <is>
          <t>REPLACE HYD PUMPS/MOTORS</t>
        </is>
      </c>
      <c r="D163" s="64" t="inlineStr">
        <is>
          <t>02896-21018</t>
        </is>
      </c>
      <c r="E163" s="64" t="inlineStr">
        <is>
          <t>O-RING P60</t>
        </is>
      </c>
      <c r="F163" s="65" t="n">
        <v>7</v>
      </c>
      <c r="G163" s="66" t="n">
        <v>6.26</v>
      </c>
      <c r="H163" s="66" t="n">
        <v>43.82</v>
      </c>
      <c r="I163" s="66" t="n">
        <v>4.965139804797017</v>
      </c>
      <c r="J163" s="66" t="n">
        <v>34.75597863357912</v>
      </c>
      <c r="K163" s="66" t="n">
        <v>5.7592</v>
      </c>
      <c r="L163" s="66" t="n">
        <v>40.3144</v>
      </c>
      <c r="M163" s="67" t="n">
        <v>5.55842136642088</v>
      </c>
      <c r="N163" s="68" t="inlineStr">
        <is>
          <t>MATCH</t>
        </is>
      </c>
      <c r="O163" s="64" t="inlineStr"/>
      <c r="P163" s="66" t="n">
        <v>7.392717391304348</v>
      </c>
      <c r="Q163" s="66" t="n">
        <v>6.8013</v>
      </c>
      <c r="R163" s="69" t="n">
        <v>0.8467792921941393</v>
      </c>
    </row>
    <row r="164">
      <c r="A164" s="64" t="n">
        <v>9</v>
      </c>
      <c r="B164" s="64" t="n">
        <v>6</v>
      </c>
      <c r="C164" s="64" t="inlineStr">
        <is>
          <t>REPLACE HYD PUMPS/MOTORS</t>
        </is>
      </c>
      <c r="D164" s="64" t="inlineStr">
        <is>
          <t>06300-06208</t>
        </is>
      </c>
      <c r="E164" s="64" t="inlineStr">
        <is>
          <t>BEARING</t>
        </is>
      </c>
      <c r="F164" s="65" t="n">
        <v>2</v>
      </c>
      <c r="G164" s="66" t="n">
        <v>48.4</v>
      </c>
      <c r="H164" s="66" t="n">
        <v>96.8</v>
      </c>
      <c r="I164" s="66" t="n">
        <v>38.38862085498013</v>
      </c>
      <c r="J164" s="66" t="n">
        <v>76.77724170996026</v>
      </c>
      <c r="K164" s="66" t="n">
        <v>44.528</v>
      </c>
      <c r="L164" s="66" t="n">
        <v>89.056</v>
      </c>
      <c r="M164" s="67" t="n">
        <v>12.27875829003973</v>
      </c>
      <c r="N164" s="68" t="inlineStr">
        <is>
          <t>MATCH</t>
        </is>
      </c>
      <c r="O164" s="64" t="inlineStr"/>
      <c r="P164" s="66" t="n">
        <v>59.89499999999999</v>
      </c>
      <c r="Q164" s="66" t="n">
        <v>55.10339999999999</v>
      </c>
      <c r="R164" s="69" t="n">
        <v>0.8080808080808082</v>
      </c>
    </row>
    <row r="165">
      <c r="A165" s="64" t="n">
        <v>9</v>
      </c>
      <c r="B165" s="64" t="n">
        <v>6</v>
      </c>
      <c r="C165" s="64" t="inlineStr">
        <is>
          <t>REPLACE HYD PUMPS/MOTORS</t>
        </is>
      </c>
      <c r="D165" s="64" t="inlineStr">
        <is>
          <t>07000-12018</t>
        </is>
      </c>
      <c r="E165" s="64" t="inlineStr">
        <is>
          <t>O-RING</t>
        </is>
      </c>
      <c r="F165" s="65" t="n">
        <v>2</v>
      </c>
      <c r="G165" s="66" t="n">
        <v>1.06</v>
      </c>
      <c r="H165" s="66" t="n">
        <v>2.12</v>
      </c>
      <c r="I165" s="66" t="n">
        <v>0.840742522857003</v>
      </c>
      <c r="J165" s="66" t="n">
        <v>1.681485045714006</v>
      </c>
      <c r="K165" s="66" t="n">
        <v>0.9752000000000001</v>
      </c>
      <c r="L165" s="66" t="n">
        <v>1.9504</v>
      </c>
      <c r="M165" s="67" t="n">
        <v>0.2689149542859941</v>
      </c>
      <c r="N165" s="68" t="inlineStr">
        <is>
          <t>MATCH</t>
        </is>
      </c>
      <c r="O165" s="64" t="inlineStr"/>
      <c r="P165" s="66" t="n">
        <v>1.162173913043478</v>
      </c>
      <c r="Q165" s="66" t="n">
        <v>1.0692</v>
      </c>
      <c r="R165" s="69" t="n">
        <v>0.9120838009726899</v>
      </c>
    </row>
    <row r="166">
      <c r="A166" s="64" t="n">
        <v>9</v>
      </c>
      <c r="B166" s="64" t="n">
        <v>6</v>
      </c>
      <c r="C166" s="64" t="inlineStr">
        <is>
          <t>REPLACE HYD PUMPS/MOTORS</t>
        </is>
      </c>
      <c r="D166" s="64" t="inlineStr">
        <is>
          <t>07000-12085</t>
        </is>
      </c>
      <c r="E166" s="64" t="inlineStr">
        <is>
          <t>O-RING</t>
        </is>
      </c>
      <c r="F166" s="65" t="n">
        <v>2</v>
      </c>
      <c r="G166" s="66" t="n">
        <v>4.31</v>
      </c>
      <c r="H166" s="66" t="n">
        <v>8.619999999999999</v>
      </c>
      <c r="I166" s="66" t="n">
        <v>3.418490824069512</v>
      </c>
      <c r="J166" s="66" t="n">
        <v>6.836981648139023</v>
      </c>
      <c r="K166" s="66" t="n">
        <v>3.9652</v>
      </c>
      <c r="L166" s="66" t="n">
        <v>7.9304</v>
      </c>
      <c r="M166" s="67" t="n">
        <v>1.093418351860977</v>
      </c>
      <c r="N166" s="68" t="inlineStr">
        <is>
          <t>MATCH</t>
        </is>
      </c>
      <c r="O166" s="64" t="inlineStr"/>
      <c r="P166" s="66" t="n">
        <v>4.756304347826086</v>
      </c>
      <c r="Q166" s="66" t="n">
        <v>4.3758</v>
      </c>
      <c r="R166" s="69" t="n">
        <v>0.9061657296951415</v>
      </c>
    </row>
    <row r="167">
      <c r="A167" s="64" t="n">
        <v>9</v>
      </c>
      <c r="B167" s="64" t="n">
        <v>6</v>
      </c>
      <c r="C167" s="64" t="inlineStr">
        <is>
          <t>REPLACE HYD PUMPS/MOTORS</t>
        </is>
      </c>
      <c r="D167" s="64" t="inlineStr">
        <is>
          <t>07000-13032</t>
        </is>
      </c>
      <c r="E167" s="64" t="inlineStr">
        <is>
          <t>O-RING</t>
        </is>
      </c>
      <c r="F167" s="65" t="n">
        <v>3</v>
      </c>
      <c r="G167" s="66" t="n">
        <v>2.82</v>
      </c>
      <c r="H167" s="66" t="n">
        <v>8.460000000000001</v>
      </c>
      <c r="I167" s="66" t="n">
        <v>2.236692372129008</v>
      </c>
      <c r="J167" s="66" t="n">
        <v>6.710077116387025</v>
      </c>
      <c r="K167" s="66" t="n">
        <v>2.5944</v>
      </c>
      <c r="L167" s="66" t="n">
        <v>7.783200000000001</v>
      </c>
      <c r="M167" s="67" t="n">
        <v>1.073122883612976</v>
      </c>
      <c r="N167" s="68" t="inlineStr">
        <is>
          <t>MATCH</t>
        </is>
      </c>
      <c r="O167" s="64" t="inlineStr"/>
      <c r="P167" s="66" t="n">
        <v>3.109891304347826</v>
      </c>
      <c r="Q167" s="66" t="n">
        <v>2.8611</v>
      </c>
      <c r="R167" s="69" t="n">
        <v>0.906784104015938</v>
      </c>
    </row>
    <row r="168">
      <c r="A168" s="64" t="n">
        <v>9</v>
      </c>
      <c r="B168" s="64" t="n">
        <v>6</v>
      </c>
      <c r="C168" s="64" t="inlineStr">
        <is>
          <t>REPLACE HYD PUMPS/MOTORS</t>
        </is>
      </c>
      <c r="D168" s="64" t="inlineStr">
        <is>
          <t>07000-A2100</t>
        </is>
      </c>
      <c r="E168" s="64" t="inlineStr">
        <is>
          <t>O-RING</t>
        </is>
      </c>
      <c r="F168" s="65" t="n">
        <v>2</v>
      </c>
      <c r="G168" s="66" t="n">
        <v>14.78</v>
      </c>
      <c r="H168" s="66" t="n">
        <v>29.56</v>
      </c>
      <c r="I168" s="66" t="n">
        <v>11.72280612059104</v>
      </c>
      <c r="J168" s="66" t="n">
        <v>23.44561224118208</v>
      </c>
      <c r="K168" s="66" t="n">
        <v>13.5976</v>
      </c>
      <c r="L168" s="66" t="n">
        <v>27.1952</v>
      </c>
      <c r="M168" s="67" t="n">
        <v>3.749587758817917</v>
      </c>
      <c r="N168" s="68" t="inlineStr">
        <is>
          <t>MATCH</t>
        </is>
      </c>
      <c r="O168" s="64" t="inlineStr"/>
      <c r="P168" s="66" t="n">
        <v>17.62630434782609</v>
      </c>
      <c r="Q168" s="66" t="n">
        <v>16.2162</v>
      </c>
      <c r="R168" s="69" t="n">
        <v>0.8385195051861719</v>
      </c>
    </row>
    <row r="169">
      <c r="A169" s="64" t="n">
        <v>9</v>
      </c>
      <c r="B169" s="64" t="n">
        <v>6</v>
      </c>
      <c r="C169" s="64" t="inlineStr">
        <is>
          <t>REPLACE HYD PUMPS/MOTORS</t>
        </is>
      </c>
      <c r="D169" s="64" t="inlineStr">
        <is>
          <t>07000-E2125</t>
        </is>
      </c>
      <c r="E169" s="64" t="inlineStr">
        <is>
          <t>O-RING</t>
        </is>
      </c>
      <c r="F169" s="65" t="n">
        <v>1</v>
      </c>
      <c r="G169" s="66" t="n">
        <v>22.34</v>
      </c>
      <c r="H169" s="66" t="n">
        <v>22.34</v>
      </c>
      <c r="I169" s="66" t="n">
        <v>17.71904524587306</v>
      </c>
      <c r="J169" s="66" t="n">
        <v>17.71904524587306</v>
      </c>
      <c r="K169" s="66" t="n">
        <v>20.5528</v>
      </c>
      <c r="L169" s="66" t="n">
        <v>20.5528</v>
      </c>
      <c r="M169" s="67" t="n">
        <v>2.833754754126939</v>
      </c>
      <c r="N169" s="68" t="inlineStr">
        <is>
          <t>MATCH</t>
        </is>
      </c>
      <c r="O169" s="64" t="inlineStr"/>
      <c r="P169" s="66" t="n">
        <v>25.3741304347826</v>
      </c>
      <c r="Q169" s="66" t="n">
        <v>23.3442</v>
      </c>
      <c r="R169" s="69" t="n">
        <v>0.8804242595591197</v>
      </c>
    </row>
    <row r="170">
      <c r="A170" s="64" t="n">
        <v>9</v>
      </c>
      <c r="B170" s="64" t="n">
        <v>6</v>
      </c>
      <c r="C170" s="64" t="inlineStr">
        <is>
          <t>REPLACE HYD PUMPS/MOTORS</t>
        </is>
      </c>
      <c r="D170" s="64" t="inlineStr">
        <is>
          <t>07000-F2055</t>
        </is>
      </c>
      <c r="E170" s="64" t="inlineStr">
        <is>
          <t>O-RING P60</t>
        </is>
      </c>
      <c r="F170" s="65" t="n">
        <v>1</v>
      </c>
      <c r="G170" s="66" t="n">
        <v>14.73</v>
      </c>
      <c r="H170" s="66" t="n">
        <v>14.73</v>
      </c>
      <c r="I170" s="66" t="n">
        <v>11.68314845441854</v>
      </c>
      <c r="J170" s="66" t="n">
        <v>11.68314845441854</v>
      </c>
      <c r="K170" s="66" t="n">
        <v>13.5516</v>
      </c>
      <c r="L170" s="66" t="n">
        <v>13.5516</v>
      </c>
      <c r="M170" s="67" t="n">
        <v>1.868451545581459</v>
      </c>
      <c r="N170" s="68" t="inlineStr">
        <is>
          <t>MATCH</t>
        </is>
      </c>
      <c r="O170" s="64" t="inlineStr"/>
      <c r="P170" s="66" t="n">
        <v>16.24891304347826</v>
      </c>
      <c r="Q170" s="66" t="n">
        <v>14.949</v>
      </c>
      <c r="R170" s="69" t="n">
        <v>0.9065221753963476</v>
      </c>
    </row>
    <row r="171">
      <c r="A171" s="64" t="n">
        <v>9</v>
      </c>
      <c r="B171" s="64" t="n">
        <v>6</v>
      </c>
      <c r="C171" s="64" t="inlineStr">
        <is>
          <t>REPLACE HYD PUMPS/MOTORS</t>
        </is>
      </c>
      <c r="D171" s="64" t="inlineStr">
        <is>
          <t>07000-F2060</t>
        </is>
      </c>
      <c r="E171" s="64" t="inlineStr">
        <is>
          <t>O-RING</t>
        </is>
      </c>
      <c r="F171" s="65" t="n">
        <v>1</v>
      </c>
      <c r="G171" s="66" t="n">
        <v>15.3</v>
      </c>
      <c r="H171" s="66" t="n">
        <v>15.3</v>
      </c>
      <c r="I171" s="66" t="n">
        <v>12.13524584878504</v>
      </c>
      <c r="J171" s="66" t="n">
        <v>12.13524584878504</v>
      </c>
      <c r="K171" s="66" t="n">
        <v>14.076</v>
      </c>
      <c r="L171" s="66" t="n">
        <v>14.076</v>
      </c>
      <c r="M171" s="67" t="n">
        <v>1.940754151214957</v>
      </c>
      <c r="N171" s="68" t="inlineStr">
        <is>
          <t>MATCH</t>
        </is>
      </c>
      <c r="O171" s="64" t="inlineStr"/>
      <c r="P171" s="66" t="n">
        <v>16.87304347826087</v>
      </c>
      <c r="Q171" s="66" t="n">
        <v>15.5232</v>
      </c>
      <c r="R171" s="69" t="n">
        <v>0.9067717996289426</v>
      </c>
    </row>
    <row r="172">
      <c r="A172" s="64" t="n">
        <v>9</v>
      </c>
      <c r="B172" s="64" t="n">
        <v>6</v>
      </c>
      <c r="C172" s="64" t="inlineStr">
        <is>
          <t>REPLACE HYD PUMPS/MOTORS</t>
        </is>
      </c>
      <c r="D172" s="64" t="inlineStr">
        <is>
          <t>07000-F2070</t>
        </is>
      </c>
      <c r="E172" s="64" t="inlineStr">
        <is>
          <t>O-RING P60</t>
        </is>
      </c>
      <c r="F172" s="65" t="n">
        <v>3</v>
      </c>
      <c r="G172" s="66" t="n">
        <v>15.59</v>
      </c>
      <c r="H172" s="66" t="n">
        <v>46.77</v>
      </c>
      <c r="I172" s="66" t="n">
        <v>12.36526031258554</v>
      </c>
      <c r="J172" s="66" t="n">
        <v>37.09578093775663</v>
      </c>
      <c r="K172" s="66" t="n">
        <v>14.3428</v>
      </c>
      <c r="L172" s="66" t="n">
        <v>43.0284</v>
      </c>
      <c r="M172" s="67" t="n">
        <v>5.932619062243376</v>
      </c>
      <c r="N172" s="68" t="inlineStr">
        <is>
          <t>MATCH</t>
        </is>
      </c>
      <c r="O172" s="64" t="inlineStr"/>
      <c r="P172" s="66" t="n">
        <v>17.19586956521739</v>
      </c>
      <c r="Q172" s="66" t="n">
        <v>15.8202</v>
      </c>
      <c r="R172" s="69" t="n">
        <v>0.9066130643101858</v>
      </c>
    </row>
    <row r="173">
      <c r="A173" s="64" t="n">
        <v>9</v>
      </c>
      <c r="B173" s="64" t="n">
        <v>6</v>
      </c>
      <c r="C173" s="64" t="inlineStr">
        <is>
          <t>REPLACE HYD PUMPS/MOTORS</t>
        </is>
      </c>
      <c r="D173" s="64" t="inlineStr">
        <is>
          <t>07000-F2080</t>
        </is>
      </c>
      <c r="E173" s="64" t="inlineStr">
        <is>
          <t>O-RING</t>
        </is>
      </c>
      <c r="F173" s="65" t="n">
        <v>3</v>
      </c>
      <c r="G173" s="66" t="n">
        <v>16.59</v>
      </c>
      <c r="H173" s="66" t="n">
        <v>49.77</v>
      </c>
      <c r="I173" s="66" t="n">
        <v>13.15841363603555</v>
      </c>
      <c r="J173" s="66" t="n">
        <v>39.47524090810664</v>
      </c>
      <c r="K173" s="66" t="n">
        <v>15.2628</v>
      </c>
      <c r="L173" s="66" t="n">
        <v>45.7884</v>
      </c>
      <c r="M173" s="67" t="n">
        <v>6.313159091893361</v>
      </c>
      <c r="N173" s="68" t="inlineStr">
        <is>
          <t>MATCH</t>
        </is>
      </c>
      <c r="O173" s="64" t="inlineStr"/>
      <c r="P173" s="66" t="n">
        <v>18.30423913043478</v>
      </c>
      <c r="Q173" s="66" t="n">
        <v>16.8399</v>
      </c>
      <c r="R173" s="69" t="n">
        <v>0.9063474248659434</v>
      </c>
    </row>
    <row r="174">
      <c r="A174" s="64" t="n">
        <v>9</v>
      </c>
      <c r="B174" s="64" t="n">
        <v>6</v>
      </c>
      <c r="C174" s="64" t="inlineStr">
        <is>
          <t>REPLACE HYD PUMPS/MOTORS</t>
        </is>
      </c>
      <c r="D174" s="64" t="inlineStr">
        <is>
          <t>07000-F2105</t>
        </is>
      </c>
      <c r="E174" s="64" t="inlineStr">
        <is>
          <t>O-RING</t>
        </is>
      </c>
      <c r="F174" s="65" t="n">
        <v>1</v>
      </c>
      <c r="G174" s="66" t="n">
        <v>24.17</v>
      </c>
      <c r="H174" s="66" t="n">
        <v>24.17</v>
      </c>
      <c r="I174" s="66" t="n">
        <v>19.17051582778657</v>
      </c>
      <c r="J174" s="66" t="n">
        <v>19.17051582778657</v>
      </c>
      <c r="K174" s="66" t="n">
        <v>22.2364</v>
      </c>
      <c r="L174" s="66" t="n">
        <v>22.2364</v>
      </c>
      <c r="M174" s="67" t="n">
        <v>3.065884172213433</v>
      </c>
      <c r="N174" s="68" t="inlineStr">
        <is>
          <t>MATCH</t>
        </is>
      </c>
      <c r="O174" s="64" t="inlineStr"/>
      <c r="P174" s="66" t="n">
        <v>28.55934782608696</v>
      </c>
      <c r="Q174" s="66" t="n">
        <v>26.2746</v>
      </c>
      <c r="R174" s="69" t="n">
        <v>0.8463078410327846</v>
      </c>
    </row>
    <row r="175">
      <c r="A175" s="64" t="n">
        <v>9</v>
      </c>
      <c r="B175" s="64" t="n">
        <v>6</v>
      </c>
      <c r="C175" s="64" t="inlineStr">
        <is>
          <t>REPLACE HYD PUMPS/MOTORS</t>
        </is>
      </c>
      <c r="D175" s="64" t="inlineStr">
        <is>
          <t>07000-F2130</t>
        </is>
      </c>
      <c r="E175" s="64" t="inlineStr">
        <is>
          <t>O-RING</t>
        </is>
      </c>
      <c r="F175" s="65" t="n">
        <v>2</v>
      </c>
      <c r="G175" s="66" t="n">
        <v>19.73</v>
      </c>
      <c r="H175" s="66" t="n">
        <v>39.46</v>
      </c>
      <c r="I175" s="66" t="n">
        <v>15.64891507166855</v>
      </c>
      <c r="J175" s="66" t="n">
        <v>31.29783014333711</v>
      </c>
      <c r="K175" s="66" t="n">
        <v>18.1516</v>
      </c>
      <c r="L175" s="66" t="n">
        <v>36.3032</v>
      </c>
      <c r="M175" s="67" t="n">
        <v>5.005369856662895</v>
      </c>
      <c r="N175" s="68" t="inlineStr">
        <is>
          <t>MATCH</t>
        </is>
      </c>
      <c r="O175" s="64" t="inlineStr"/>
      <c r="P175" s="66" t="n">
        <v>22.90989130434782</v>
      </c>
      <c r="Q175" s="66" t="n">
        <v>21.0771</v>
      </c>
      <c r="R175" s="69" t="n">
        <v>0.8612000702183888</v>
      </c>
    </row>
    <row r="176">
      <c r="A176" s="64" t="n">
        <v>9</v>
      </c>
      <c r="B176" s="64" t="n">
        <v>6</v>
      </c>
      <c r="C176" s="64" t="inlineStr">
        <is>
          <t>REPLACE HYD PUMPS/MOTORS</t>
        </is>
      </c>
      <c r="D176" s="64" t="inlineStr">
        <is>
          <t>07000-F2135</t>
        </is>
      </c>
      <c r="E176" s="64" t="inlineStr">
        <is>
          <t>O-RING</t>
        </is>
      </c>
      <c r="F176" s="65" t="n">
        <v>1</v>
      </c>
      <c r="G176" s="66" t="n">
        <v>27.17</v>
      </c>
      <c r="H176" s="66" t="n">
        <v>27.17</v>
      </c>
      <c r="I176" s="66" t="n">
        <v>21.54997579813658</v>
      </c>
      <c r="J176" s="66" t="n">
        <v>21.54997579813658</v>
      </c>
      <c r="K176" s="66" t="n">
        <v>24.9964</v>
      </c>
      <c r="L176" s="66" t="n">
        <v>24.9964</v>
      </c>
      <c r="M176" s="67" t="n">
        <v>3.446424201863426</v>
      </c>
      <c r="N176" s="68" t="inlineStr">
        <is>
          <t>MATCH</t>
        </is>
      </c>
      <c r="O176" s="64" t="inlineStr"/>
      <c r="P176" s="66" t="n">
        <v>32.09967391304347</v>
      </c>
      <c r="Q176" s="66" t="n">
        <v>29.5317</v>
      </c>
      <c r="R176" s="69" t="n">
        <v>0.8464260438782734</v>
      </c>
    </row>
    <row r="177">
      <c r="A177" s="64" t="n">
        <v>9</v>
      </c>
      <c r="B177" s="64" t="n">
        <v>6</v>
      </c>
      <c r="C177" s="64" t="inlineStr">
        <is>
          <t>REPLACE HYD PUMPS/MOTORS</t>
        </is>
      </c>
      <c r="D177" s="64" t="inlineStr">
        <is>
          <t>07000-F3025</t>
        </is>
      </c>
      <c r="E177" s="64" t="inlineStr">
        <is>
          <t>O-RING P60</t>
        </is>
      </c>
      <c r="F177" s="65" t="n">
        <v>8</v>
      </c>
      <c r="G177" s="66" t="n">
        <v>12.6</v>
      </c>
      <c r="H177" s="66" t="n">
        <v>100.82</v>
      </c>
      <c r="I177" s="66" t="n">
        <v>9.993731875470035</v>
      </c>
      <c r="J177" s="66" t="n">
        <v>79.96571807022927</v>
      </c>
      <c r="K177" s="66" t="n">
        <v>11.592</v>
      </c>
      <c r="L177" s="66" t="n">
        <v>92.7544</v>
      </c>
      <c r="M177" s="67" t="n">
        <v>12.78868192977073</v>
      </c>
      <c r="N177" s="68" t="inlineStr">
        <is>
          <t>MATCH</t>
        </is>
      </c>
      <c r="O177" s="64" t="inlineStr"/>
      <c r="P177" s="66" t="n">
        <v>14.81771739130435</v>
      </c>
      <c r="Q177" s="66" t="n">
        <v>13.6323</v>
      </c>
      <c r="R177" s="69" t="n">
        <v>0.8503333993530073</v>
      </c>
    </row>
    <row r="178">
      <c r="A178" s="64" t="n">
        <v>9</v>
      </c>
      <c r="B178" s="64" t="n">
        <v>6</v>
      </c>
      <c r="C178" s="64" t="inlineStr">
        <is>
          <t>REPLACE HYD PUMPS/MOTORS</t>
        </is>
      </c>
      <c r="D178" s="64" t="inlineStr">
        <is>
          <t>07000-F3028</t>
        </is>
      </c>
      <c r="E178" s="64" t="inlineStr">
        <is>
          <t>O-RING P60</t>
        </is>
      </c>
      <c r="F178" s="65" t="n">
        <v>1</v>
      </c>
      <c r="G178" s="66" t="n">
        <v>13.44</v>
      </c>
      <c r="H178" s="66" t="n">
        <v>13.44</v>
      </c>
      <c r="I178" s="66" t="n">
        <v>10.65998066716804</v>
      </c>
      <c r="J178" s="66" t="n">
        <v>10.65998066716804</v>
      </c>
      <c r="K178" s="66" t="n">
        <v>12.3648</v>
      </c>
      <c r="L178" s="66" t="n">
        <v>12.3648</v>
      </c>
      <c r="M178" s="67" t="n">
        <v>1.704819332831963</v>
      </c>
      <c r="N178" s="68" t="inlineStr">
        <is>
          <t>MATCH</t>
        </is>
      </c>
      <c r="O178" s="64" t="inlineStr"/>
      <c r="P178" s="66" t="n">
        <v>14.81771739130435</v>
      </c>
      <c r="Q178" s="66" t="n">
        <v>13.6323</v>
      </c>
      <c r="R178" s="69" t="n">
        <v>0.9070222926432078</v>
      </c>
    </row>
    <row r="179">
      <c r="A179" s="64" t="n">
        <v>9</v>
      </c>
      <c r="B179" s="64" t="n">
        <v>6</v>
      </c>
      <c r="C179" s="64" t="inlineStr">
        <is>
          <t>REPLACE HYD PUMPS/MOTORS</t>
        </is>
      </c>
      <c r="D179" s="64" t="inlineStr">
        <is>
          <t>07000-F3030</t>
        </is>
      </c>
      <c r="E179" s="64" t="inlineStr">
        <is>
          <t>O-RING</t>
        </is>
      </c>
      <c r="F179" s="65" t="n">
        <v>9</v>
      </c>
      <c r="G179" s="66" t="n">
        <v>12.7</v>
      </c>
      <c r="H179" s="66" t="n">
        <v>114.26</v>
      </c>
      <c r="I179" s="66" t="n">
        <v>10.07304720781504</v>
      </c>
      <c r="J179" s="66" t="n">
        <v>90.62569873739731</v>
      </c>
      <c r="K179" s="66" t="n">
        <v>11.684</v>
      </c>
      <c r="L179" s="66" t="n">
        <v>105.1192</v>
      </c>
      <c r="M179" s="67" t="n">
        <v>14.49350126260269</v>
      </c>
      <c r="N179" s="68" t="inlineStr">
        <is>
          <t>MATCH</t>
        </is>
      </c>
      <c r="O179" s="64" t="inlineStr"/>
      <c r="P179" s="66" t="n">
        <v>14.81771739130435</v>
      </c>
      <c r="Q179" s="66" t="n">
        <v>13.6323</v>
      </c>
      <c r="R179" s="69" t="n">
        <v>0.8570820771256502</v>
      </c>
    </row>
    <row r="180">
      <c r="A180" s="64" t="n">
        <v>9</v>
      </c>
      <c r="B180" s="64" t="n">
        <v>6</v>
      </c>
      <c r="C180" s="64" t="inlineStr">
        <is>
          <t>REPLACE HYD PUMPS/MOTORS</t>
        </is>
      </c>
      <c r="D180" s="64" t="inlineStr">
        <is>
          <t>07000-F3032</t>
        </is>
      </c>
      <c r="E180" s="64" t="inlineStr">
        <is>
          <t>O-RING P60</t>
        </is>
      </c>
      <c r="F180" s="65" t="n">
        <v>18</v>
      </c>
      <c r="G180" s="66" t="n">
        <v>13.44</v>
      </c>
      <c r="H180" s="66" t="n">
        <v>241.92</v>
      </c>
      <c r="I180" s="66" t="n">
        <v>10.65998066716804</v>
      </c>
      <c r="J180" s="66" t="n">
        <v>191.8796520090247</v>
      </c>
      <c r="K180" s="66" t="n">
        <v>12.3648</v>
      </c>
      <c r="L180" s="66" t="n">
        <v>222.5664</v>
      </c>
      <c r="M180" s="67" t="n">
        <v>30.68674799097533</v>
      </c>
      <c r="N180" s="68" t="inlineStr">
        <is>
          <t>MATCH</t>
        </is>
      </c>
      <c r="O180" s="64" t="inlineStr"/>
      <c r="P180" s="66" t="n">
        <v>14.81771739130435</v>
      </c>
      <c r="Q180" s="66" t="n">
        <v>13.6323</v>
      </c>
      <c r="R180" s="69" t="n">
        <v>0.9070222926432078</v>
      </c>
    </row>
    <row r="181">
      <c r="A181" s="64" t="n">
        <v>9</v>
      </c>
      <c r="B181" s="64" t="n">
        <v>6</v>
      </c>
      <c r="C181" s="64" t="inlineStr">
        <is>
          <t>REPLACE HYD PUMPS/MOTORS</t>
        </is>
      </c>
      <c r="D181" s="64" t="inlineStr">
        <is>
          <t>07000-F3035</t>
        </is>
      </c>
      <c r="E181" s="64" t="inlineStr">
        <is>
          <t>O-RING P6</t>
        </is>
      </c>
      <c r="F181" s="65" t="n">
        <v>4</v>
      </c>
      <c r="G181" s="66" t="n">
        <v>13.91</v>
      </c>
      <c r="H181" s="66" t="n">
        <v>55.64</v>
      </c>
      <c r="I181" s="66" t="n">
        <v>11.03276272918954</v>
      </c>
      <c r="J181" s="66" t="n">
        <v>44.13105091675816</v>
      </c>
      <c r="K181" s="66" t="n">
        <v>12.7972</v>
      </c>
      <c r="L181" s="66" t="n">
        <v>51.1888</v>
      </c>
      <c r="M181" s="67" t="n">
        <v>7.057749083241845</v>
      </c>
      <c r="N181" s="68" t="inlineStr">
        <is>
          <t>MATCH</t>
        </is>
      </c>
      <c r="O181" s="64" t="inlineStr"/>
      <c r="P181" s="66" t="n">
        <v>15.33423913043478</v>
      </c>
      <c r="Q181" s="66" t="n">
        <v>14.1075</v>
      </c>
      <c r="R181" s="69" t="n">
        <v>0.9071203260676945</v>
      </c>
    </row>
    <row r="182">
      <c r="A182" s="64" t="n">
        <v>9</v>
      </c>
      <c r="B182" s="64" t="n">
        <v>6</v>
      </c>
      <c r="C182" s="64" t="inlineStr">
        <is>
          <t>REPLACE HYD PUMPS/MOTORS</t>
        </is>
      </c>
      <c r="D182" s="64" t="inlineStr">
        <is>
          <t>07000-F3038</t>
        </is>
      </c>
      <c r="E182" s="64" t="inlineStr">
        <is>
          <t>O-RING P60</t>
        </is>
      </c>
      <c r="F182" s="65" t="n">
        <v>4</v>
      </c>
      <c r="G182" s="66" t="n">
        <v>13.59</v>
      </c>
      <c r="H182" s="66" t="n">
        <v>54.36</v>
      </c>
      <c r="I182" s="66" t="n">
        <v>10.77895366568554</v>
      </c>
      <c r="J182" s="66" t="n">
        <v>43.11581466274215</v>
      </c>
      <c r="K182" s="66" t="n">
        <v>12.5028</v>
      </c>
      <c r="L182" s="66" t="n">
        <v>50.0112</v>
      </c>
      <c r="M182" s="67" t="n">
        <v>6.895385337257849</v>
      </c>
      <c r="N182" s="68" t="inlineStr">
        <is>
          <t>MATCH</t>
        </is>
      </c>
      <c r="O182" s="64" t="inlineStr"/>
      <c r="P182" s="66" t="n">
        <v>14.98989130434783</v>
      </c>
      <c r="Q182" s="66" t="n">
        <v>13.7907</v>
      </c>
      <c r="R182" s="69" t="n">
        <v>0.9066109769627358</v>
      </c>
    </row>
    <row r="183">
      <c r="A183" s="64" t="n">
        <v>9</v>
      </c>
      <c r="B183" s="64" t="n">
        <v>6</v>
      </c>
      <c r="C183" s="64" t="inlineStr">
        <is>
          <t>REPLACE HYD PUMPS/MOTORS</t>
        </is>
      </c>
      <c r="D183" s="64" t="inlineStr">
        <is>
          <t>07000-F3048</t>
        </is>
      </c>
      <c r="E183" s="64" t="inlineStr">
        <is>
          <t>O-RING P</t>
        </is>
      </c>
      <c r="F183" s="65" t="n">
        <v>3</v>
      </c>
      <c r="G183" s="66" t="n">
        <v>15.06</v>
      </c>
      <c r="H183" s="66" t="n">
        <v>45.18</v>
      </c>
      <c r="I183" s="66" t="n">
        <v>11.94488905115704</v>
      </c>
      <c r="J183" s="66" t="n">
        <v>35.83466715347112</v>
      </c>
      <c r="K183" s="66" t="n">
        <v>13.8552</v>
      </c>
      <c r="L183" s="66" t="n">
        <v>41.5656</v>
      </c>
      <c r="M183" s="67" t="n">
        <v>5.73093284652888</v>
      </c>
      <c r="N183" s="68" t="inlineStr">
        <is>
          <t>MATCH</t>
        </is>
      </c>
      <c r="O183" s="64" t="inlineStr"/>
      <c r="P183" s="66" t="n">
        <v>16.60402173913043</v>
      </c>
      <c r="Q183" s="66" t="n">
        <v>15.2757</v>
      </c>
      <c r="R183" s="69" t="n">
        <v>0.9070091714291327</v>
      </c>
    </row>
    <row r="184">
      <c r="A184" s="64" t="n">
        <v>9</v>
      </c>
      <c r="B184" s="64" t="n">
        <v>6</v>
      </c>
      <c r="C184" s="64" t="inlineStr">
        <is>
          <t>REPLACE HYD PUMPS/MOTORS</t>
        </is>
      </c>
      <c r="D184" s="64" t="inlineStr">
        <is>
          <t>07000-F5230</t>
        </is>
      </c>
      <c r="E184" s="64" t="inlineStr">
        <is>
          <t>O-RING</t>
        </is>
      </c>
      <c r="F184" s="65" t="n">
        <v>3</v>
      </c>
      <c r="G184" s="66" t="n">
        <v>52.91</v>
      </c>
      <c r="H184" s="66" t="n">
        <v>158.73</v>
      </c>
      <c r="I184" s="66" t="n">
        <v>41.96574234373964</v>
      </c>
      <c r="J184" s="66" t="n">
        <v>125.8972270312189</v>
      </c>
      <c r="K184" s="66" t="n">
        <v>48.6772</v>
      </c>
      <c r="L184" s="66" t="n">
        <v>146.0316</v>
      </c>
      <c r="M184" s="67" t="n">
        <v>20.13437296878107</v>
      </c>
      <c r="N184" s="68" t="inlineStr">
        <is>
          <t>MATCH</t>
        </is>
      </c>
      <c r="O184" s="64" t="inlineStr"/>
      <c r="P184" s="66" t="n">
        <v>58.35619565217391</v>
      </c>
      <c r="Q184" s="66" t="n">
        <v>53.6877</v>
      </c>
      <c r="R184" s="69" t="n">
        <v>0.9066732231032434</v>
      </c>
    </row>
    <row r="185">
      <c r="A185" s="64" t="n">
        <v>9</v>
      </c>
      <c r="B185" s="64" t="n">
        <v>6</v>
      </c>
      <c r="C185" s="64" t="inlineStr">
        <is>
          <t>REPLACE HYD PUMPS/MOTORS</t>
        </is>
      </c>
      <c r="D185" s="64" t="inlineStr">
        <is>
          <t>07002-21023</t>
        </is>
      </c>
      <c r="E185" s="64" t="inlineStr">
        <is>
          <t>O-RING</t>
        </is>
      </c>
      <c r="F185" s="65" t="n">
        <v>4</v>
      </c>
      <c r="G185" s="66" t="n">
        <v>5.94</v>
      </c>
      <c r="H185" s="66" t="n">
        <v>23.76</v>
      </c>
      <c r="I185" s="66" t="n">
        <v>4.711330741293017</v>
      </c>
      <c r="J185" s="66" t="n">
        <v>18.84532296517207</v>
      </c>
      <c r="K185" s="66" t="n">
        <v>5.4648</v>
      </c>
      <c r="L185" s="66" t="n">
        <v>21.8592</v>
      </c>
      <c r="M185" s="67" t="n">
        <v>3.013877034827935</v>
      </c>
      <c r="N185" s="68" t="inlineStr">
        <is>
          <t>MATCH</t>
        </is>
      </c>
      <c r="O185" s="64" t="inlineStr"/>
      <c r="P185" s="66" t="n">
        <v>7.09141304347826</v>
      </c>
      <c r="Q185" s="66" t="n">
        <v>6.5241</v>
      </c>
      <c r="R185" s="69" t="n">
        <v>0.8376327769347497</v>
      </c>
    </row>
    <row r="186">
      <c r="A186" s="64" t="n">
        <v>9</v>
      </c>
      <c r="B186" s="64" t="n">
        <v>6</v>
      </c>
      <c r="C186" s="64" t="inlineStr">
        <is>
          <t>REPLACE HYD PUMPS/MOTORS</t>
        </is>
      </c>
      <c r="D186" s="64" t="inlineStr">
        <is>
          <t>07002-21423</t>
        </is>
      </c>
      <c r="E186" s="64" t="inlineStr">
        <is>
          <t>O-RING P</t>
        </is>
      </c>
      <c r="F186" s="65" t="n">
        <v>6</v>
      </c>
      <c r="G186" s="66" t="n">
        <v>4.62</v>
      </c>
      <c r="H186" s="66" t="n">
        <v>27.72</v>
      </c>
      <c r="I186" s="66" t="n">
        <v>3.664368354339013</v>
      </c>
      <c r="J186" s="66" t="n">
        <v>21.98621012603408</v>
      </c>
      <c r="K186" s="66" t="n">
        <v>4.2504</v>
      </c>
      <c r="L186" s="66" t="n">
        <v>25.5024</v>
      </c>
      <c r="M186" s="67" t="n">
        <v>3.516189873965924</v>
      </c>
      <c r="N186" s="68" t="inlineStr">
        <is>
          <t>MATCH</t>
        </is>
      </c>
      <c r="O186" s="64" t="inlineStr"/>
      <c r="P186" s="66" t="n">
        <v>5.089891304347827</v>
      </c>
      <c r="Q186" s="66" t="n">
        <v>4.682700000000001</v>
      </c>
      <c r="R186" s="69" t="n">
        <v>0.9076814658210006</v>
      </c>
    </row>
    <row r="187">
      <c r="A187" s="64" t="n">
        <v>9</v>
      </c>
      <c r="B187" s="64" t="n">
        <v>6</v>
      </c>
      <c r="C187" s="64" t="inlineStr">
        <is>
          <t>REPLACE HYD PUMPS/MOTORS</t>
        </is>
      </c>
      <c r="D187" s="64" t="inlineStr">
        <is>
          <t>07002-21823</t>
        </is>
      </c>
      <c r="E187" s="64" t="inlineStr">
        <is>
          <t>O-RING</t>
        </is>
      </c>
      <c r="F187" s="65" t="n">
        <v>3</v>
      </c>
      <c r="G187" s="66" t="n">
        <v>5.07</v>
      </c>
      <c r="H187" s="66" t="n">
        <v>15.21</v>
      </c>
      <c r="I187" s="66" t="n">
        <v>4.021287349891514</v>
      </c>
      <c r="J187" s="66" t="n">
        <v>12.06386204967454</v>
      </c>
      <c r="K187" s="66" t="n">
        <v>4.664400000000001</v>
      </c>
      <c r="L187" s="66" t="n">
        <v>13.9932</v>
      </c>
      <c r="M187" s="67" t="n">
        <v>1.92933795032546</v>
      </c>
      <c r="N187" s="68" t="inlineStr">
        <is>
          <t>MATCH</t>
        </is>
      </c>
      <c r="O187" s="64" t="inlineStr"/>
      <c r="P187" s="66" t="n">
        <v>5.595652173913042</v>
      </c>
      <c r="Q187" s="66" t="n">
        <v>5.148</v>
      </c>
      <c r="R187" s="69" t="n">
        <v>0.9060606060606062</v>
      </c>
    </row>
    <row r="188">
      <c r="A188" s="64" t="n">
        <v>9</v>
      </c>
      <c r="B188" s="64" t="n">
        <v>6</v>
      </c>
      <c r="C188" s="64" t="inlineStr">
        <is>
          <t>REPLACE HYD PUMPS/MOTORS</t>
        </is>
      </c>
      <c r="D188" s="64" t="inlineStr">
        <is>
          <t>07002-22034</t>
        </is>
      </c>
      <c r="E188" s="64" t="inlineStr">
        <is>
          <t>O-RING P60</t>
        </is>
      </c>
      <c r="F188" s="65" t="n">
        <v>1</v>
      </c>
      <c r="G188" s="66" t="n">
        <v>10.09</v>
      </c>
      <c r="H188" s="66" t="n">
        <v>10.09</v>
      </c>
      <c r="I188" s="66" t="n">
        <v>8.002917033610528</v>
      </c>
      <c r="J188" s="66" t="n">
        <v>8.002917033610528</v>
      </c>
      <c r="K188" s="66" t="n">
        <v>9.2828</v>
      </c>
      <c r="L188" s="66" t="n">
        <v>9.2828</v>
      </c>
      <c r="M188" s="67" t="n">
        <v>1.279882966389472</v>
      </c>
      <c r="N188" s="68" t="inlineStr">
        <is>
          <t>MATCH</t>
        </is>
      </c>
      <c r="O188" s="64" t="inlineStr"/>
      <c r="P188" s="66" t="n">
        <v>11.12673913043478</v>
      </c>
      <c r="Q188" s="66" t="n">
        <v>10.2366</v>
      </c>
      <c r="R188" s="69" t="n">
        <v>0.9068245315827521</v>
      </c>
    </row>
    <row r="189">
      <c r="A189" s="64" t="n">
        <v>9</v>
      </c>
      <c r="B189" s="64" t="n">
        <v>6</v>
      </c>
      <c r="C189" s="64" t="inlineStr">
        <is>
          <t>REPLACE HYD PUMPS/MOTORS</t>
        </is>
      </c>
      <c r="D189" s="64" t="inlineStr">
        <is>
          <t>07002-22434</t>
        </is>
      </c>
      <c r="E189" s="64" t="inlineStr">
        <is>
          <t>O-RING P6</t>
        </is>
      </c>
      <c r="F189" s="65" t="n">
        <v>6</v>
      </c>
      <c r="G189" s="66" t="n">
        <v>10.44</v>
      </c>
      <c r="H189" s="66" t="n">
        <v>62.64</v>
      </c>
      <c r="I189" s="66" t="n">
        <v>8.280520696818028</v>
      </c>
      <c r="J189" s="66" t="n">
        <v>49.68312418090817</v>
      </c>
      <c r="K189" s="66" t="n">
        <v>9.604799999999999</v>
      </c>
      <c r="L189" s="66" t="n">
        <v>57.62880000000001</v>
      </c>
      <c r="M189" s="67" t="n">
        <v>7.945675819091832</v>
      </c>
      <c r="N189" s="68" t="inlineStr">
        <is>
          <t>MATCH</t>
        </is>
      </c>
      <c r="O189" s="64" t="inlineStr"/>
      <c r="P189" s="66" t="n">
        <v>11.51413043478261</v>
      </c>
      <c r="Q189" s="66" t="n">
        <v>10.593</v>
      </c>
      <c r="R189" s="69" t="n">
        <v>0.9067119796091759</v>
      </c>
    </row>
    <row r="190">
      <c r="A190" s="64" t="n">
        <v>9</v>
      </c>
      <c r="B190" s="64" t="n">
        <v>6</v>
      </c>
      <c r="C190" s="64" t="inlineStr">
        <is>
          <t>REPLACE HYD PUMPS/MOTORS</t>
        </is>
      </c>
      <c r="D190" s="64" t="inlineStr">
        <is>
          <t>07002-23634</t>
        </is>
      </c>
      <c r="E190" s="64" t="inlineStr">
        <is>
          <t>O-RING</t>
        </is>
      </c>
      <c r="F190" s="65" t="n">
        <v>2</v>
      </c>
      <c r="G190" s="66" t="n">
        <v>13.91</v>
      </c>
      <c r="H190" s="66" t="n">
        <v>27.82</v>
      </c>
      <c r="I190" s="66" t="n">
        <v>11.03276272918954</v>
      </c>
      <c r="J190" s="66" t="n">
        <v>22.06552545837908</v>
      </c>
      <c r="K190" s="66" t="n">
        <v>12.7972</v>
      </c>
      <c r="L190" s="66" t="n">
        <v>25.5944</v>
      </c>
      <c r="M190" s="67" t="n">
        <v>3.528874541620922</v>
      </c>
      <c r="N190" s="68" t="inlineStr">
        <is>
          <t>MATCH</t>
        </is>
      </c>
      <c r="O190" s="64" t="inlineStr"/>
      <c r="P190" s="66" t="n">
        <v>15.33423913043478</v>
      </c>
      <c r="Q190" s="66" t="n">
        <v>14.1075</v>
      </c>
      <c r="R190" s="69" t="n">
        <v>0.9071203260676945</v>
      </c>
    </row>
    <row r="191">
      <c r="A191" s="64" t="n">
        <v>9</v>
      </c>
      <c r="B191" s="64" t="n">
        <v>6</v>
      </c>
      <c r="C191" s="64" t="inlineStr">
        <is>
          <t>REPLACE HYD PUMPS/MOTORS</t>
        </is>
      </c>
      <c r="D191" s="64" t="inlineStr">
        <is>
          <t>07005-01012</t>
        </is>
      </c>
      <c r="E191" s="64" t="inlineStr">
        <is>
          <t>SEAL</t>
        </is>
      </c>
      <c r="F191" s="65" t="n">
        <v>4</v>
      </c>
      <c r="G191" s="66" t="n">
        <v>2.11</v>
      </c>
      <c r="H191" s="66" t="n">
        <v>8.44</v>
      </c>
      <c r="I191" s="66" t="n">
        <v>1.673553512479506</v>
      </c>
      <c r="J191" s="66" t="n">
        <v>6.694214049918023</v>
      </c>
      <c r="K191" s="66" t="n">
        <v>1.9412</v>
      </c>
      <c r="L191" s="66" t="n">
        <v>7.7648</v>
      </c>
      <c r="M191" s="67" t="n">
        <v>1.070585950081977</v>
      </c>
      <c r="N191" s="68" t="inlineStr">
        <is>
          <t>MATCH</t>
        </is>
      </c>
      <c r="O191" s="64" t="inlineStr"/>
      <c r="P191" s="66" t="n">
        <v>2.399673913043478</v>
      </c>
      <c r="Q191" s="66" t="n">
        <v>2.2077</v>
      </c>
      <c r="R191" s="69" t="n">
        <v>0.8792861348915161</v>
      </c>
    </row>
    <row r="192">
      <c r="A192" s="64" t="n">
        <v>10</v>
      </c>
      <c r="B192" s="64" t="n">
        <v>6</v>
      </c>
      <c r="C192" s="64" t="inlineStr">
        <is>
          <t>REPLACE HYD PUMPS/MOTORS</t>
        </is>
      </c>
      <c r="D192" s="64" t="inlineStr">
        <is>
          <t>07011-10070</t>
        </is>
      </c>
      <c r="E192" s="64" t="inlineStr">
        <is>
          <t>OIL SEAL</t>
        </is>
      </c>
      <c r="F192" s="65" t="n">
        <v>1</v>
      </c>
      <c r="G192" s="66" t="n">
        <v>43.49</v>
      </c>
      <c r="H192" s="66" t="n">
        <v>43.49</v>
      </c>
      <c r="I192" s="66" t="n">
        <v>34.49423803684062</v>
      </c>
      <c r="J192" s="66" t="n">
        <v>34.49423803684062</v>
      </c>
      <c r="K192" s="66" t="n">
        <v>40.0108</v>
      </c>
      <c r="L192" s="66" t="n">
        <v>40.0108</v>
      </c>
      <c r="M192" s="67" t="n">
        <v>5.516561963159383</v>
      </c>
      <c r="N192" s="68" t="inlineStr">
        <is>
          <t>MATCH</t>
        </is>
      </c>
      <c r="O192" s="64" t="inlineStr"/>
      <c r="P192" s="66" t="n">
        <v>47.97195652173913</v>
      </c>
      <c r="Q192" s="66" t="n">
        <v>44.1342</v>
      </c>
      <c r="R192" s="69" t="n">
        <v>0.9065713211069873</v>
      </c>
    </row>
    <row r="193">
      <c r="A193" s="64" t="n">
        <v>10</v>
      </c>
      <c r="B193" s="64" t="n">
        <v>6</v>
      </c>
      <c r="C193" s="64" t="inlineStr">
        <is>
          <t>REPLACE HYD PUMPS/MOTORS</t>
        </is>
      </c>
      <c r="D193" s="64" t="inlineStr">
        <is>
          <t>07260-02622</t>
        </is>
      </c>
      <c r="E193" s="64" t="inlineStr">
        <is>
          <t>HOSE</t>
        </is>
      </c>
      <c r="F193" s="65" t="n">
        <v>1</v>
      </c>
      <c r="G193" s="66" t="n">
        <v>15.54</v>
      </c>
      <c r="H193" s="66" t="n">
        <v>15.54</v>
      </c>
      <c r="I193" s="66" t="n">
        <v>12.32560264641304</v>
      </c>
      <c r="J193" s="66" t="n">
        <v>12.32560264641304</v>
      </c>
      <c r="K193" s="66" t="n">
        <v>14.2968</v>
      </c>
      <c r="L193" s="66" t="n">
        <v>14.2968</v>
      </c>
      <c r="M193" s="67" t="n">
        <v>1.971197353586957</v>
      </c>
      <c r="N193" s="68" t="inlineStr">
        <is>
          <t>MATCH</t>
        </is>
      </c>
      <c r="O193" s="64" t="inlineStr"/>
      <c r="P193" s="66" t="n">
        <v>18.54097826086957</v>
      </c>
      <c r="Q193" s="66" t="n">
        <v>17.0577</v>
      </c>
      <c r="R193" s="69" t="n">
        <v>0.8381434777256019</v>
      </c>
    </row>
    <row r="194">
      <c r="A194" s="64" t="n">
        <v>10</v>
      </c>
      <c r="B194" s="64" t="n">
        <v>6</v>
      </c>
      <c r="C194" s="64" t="inlineStr">
        <is>
          <t>REPLACE HYD PUMPS/MOTORS</t>
        </is>
      </c>
      <c r="D194" s="64" t="inlineStr">
        <is>
          <t>07260-03232</t>
        </is>
      </c>
      <c r="E194" s="64" t="inlineStr">
        <is>
          <t>HOSE</t>
        </is>
      </c>
      <c r="F194" s="65" t="n">
        <v>2</v>
      </c>
      <c r="G194" s="66" t="n">
        <v>28.74</v>
      </c>
      <c r="H194" s="66" t="n">
        <v>57.48</v>
      </c>
      <c r="I194" s="66" t="n">
        <v>22.79522651595308</v>
      </c>
      <c r="J194" s="66" t="n">
        <v>45.59045303190616</v>
      </c>
      <c r="K194" s="66" t="n">
        <v>26.4408</v>
      </c>
      <c r="L194" s="66" t="n">
        <v>52.8816</v>
      </c>
      <c r="M194" s="67" t="n">
        <v>7.291146968093841</v>
      </c>
      <c r="N194" s="68" t="inlineStr">
        <is>
          <t>MATCH</t>
        </is>
      </c>
      <c r="O194" s="64" t="inlineStr"/>
      <c r="P194" s="66" t="n">
        <v>34.29489130434783</v>
      </c>
      <c r="Q194" s="66" t="n">
        <v>31.5513</v>
      </c>
      <c r="R194" s="69" t="n">
        <v>0.838025691492902</v>
      </c>
    </row>
    <row r="195">
      <c r="A195" s="64" t="n">
        <v>10</v>
      </c>
      <c r="B195" s="64" t="n">
        <v>6</v>
      </c>
      <c r="C195" s="64" t="inlineStr">
        <is>
          <t>REPLACE HYD PUMPS/MOTORS</t>
        </is>
      </c>
      <c r="D195" s="64" t="inlineStr">
        <is>
          <t>07260-03250</t>
        </is>
      </c>
      <c r="E195" s="64" t="inlineStr">
        <is>
          <t>HOSE</t>
        </is>
      </c>
      <c r="F195" s="65" t="n">
        <v>2</v>
      </c>
      <c r="G195" s="66" t="n">
        <v>48.22</v>
      </c>
      <c r="H195" s="66" t="n">
        <v>96.44</v>
      </c>
      <c r="I195" s="66" t="n">
        <v>38.24585325675913</v>
      </c>
      <c r="J195" s="66" t="n">
        <v>76.49170651351827</v>
      </c>
      <c r="K195" s="66" t="n">
        <v>44.3624</v>
      </c>
      <c r="L195" s="66" t="n">
        <v>88.7248</v>
      </c>
      <c r="M195" s="67" t="n">
        <v>12.23309348648174</v>
      </c>
      <c r="N195" s="68" t="inlineStr">
        <is>
          <t>MATCH</t>
        </is>
      </c>
      <c r="O195" s="64" t="inlineStr"/>
      <c r="P195" s="66" t="n">
        <v>58.58217391304347</v>
      </c>
      <c r="Q195" s="66" t="n">
        <v>53.89559999999999</v>
      </c>
      <c r="R195" s="69" t="n">
        <v>0.8231172860122163</v>
      </c>
    </row>
    <row r="196">
      <c r="A196" s="64" t="n">
        <v>10</v>
      </c>
      <c r="B196" s="64" t="n">
        <v>6</v>
      </c>
      <c r="C196" s="64" t="inlineStr">
        <is>
          <t>REPLACE HYD PUMPS/MOTORS</t>
        </is>
      </c>
      <c r="D196" s="64" t="inlineStr">
        <is>
          <t>07260-04145</t>
        </is>
      </c>
      <c r="E196" s="64" t="inlineStr">
        <is>
          <t>HOSE</t>
        </is>
      </c>
      <c r="F196" s="65" t="n">
        <v>2</v>
      </c>
      <c r="G196" s="66" t="n">
        <v>117.84</v>
      </c>
      <c r="H196" s="66" t="n">
        <v>235.68</v>
      </c>
      <c r="I196" s="66" t="n">
        <v>93.46518763534833</v>
      </c>
      <c r="J196" s="66" t="n">
        <v>186.9303752706967</v>
      </c>
      <c r="K196" s="66" t="n">
        <v>108.4128</v>
      </c>
      <c r="L196" s="66" t="n">
        <v>216.8256</v>
      </c>
      <c r="M196" s="67" t="n">
        <v>29.89522472930335</v>
      </c>
      <c r="N196" s="68" t="inlineStr">
        <is>
          <t>MATCH</t>
        </is>
      </c>
      <c r="O196" s="64" t="inlineStr"/>
      <c r="P196" s="66" t="n">
        <v>136.8136956521739</v>
      </c>
      <c r="Q196" s="66" t="n">
        <v>125.8686</v>
      </c>
      <c r="R196" s="69" t="n">
        <v>0.8613172784951926</v>
      </c>
    </row>
    <row r="197">
      <c r="A197" s="64" t="n">
        <v>10</v>
      </c>
      <c r="B197" s="64" t="n">
        <v>6</v>
      </c>
      <c r="C197" s="64" t="inlineStr">
        <is>
          <t>REPLACE HYD PUMPS/MOTORS</t>
        </is>
      </c>
      <c r="D197" s="64" t="inlineStr">
        <is>
          <t>07260-22625</t>
        </is>
      </c>
      <c r="E197" s="64" t="inlineStr">
        <is>
          <t>HOSE</t>
        </is>
      </c>
      <c r="F197" s="65" t="n">
        <v>1</v>
      </c>
      <c r="G197" s="66" t="n">
        <v>56.62</v>
      </c>
      <c r="H197" s="66" t="n">
        <v>56.62</v>
      </c>
      <c r="I197" s="66" t="n">
        <v>44.90834117373915</v>
      </c>
      <c r="J197" s="66" t="n">
        <v>44.90834117373915</v>
      </c>
      <c r="K197" s="66" t="n">
        <v>52.0904</v>
      </c>
      <c r="L197" s="66" t="n">
        <v>52.0904</v>
      </c>
      <c r="M197" s="67" t="n">
        <v>7.18205882626085</v>
      </c>
      <c r="N197" s="68" t="inlineStr">
        <is>
          <t>MATCH</t>
        </is>
      </c>
      <c r="O197" s="64" t="inlineStr"/>
      <c r="P197" s="66" t="n">
        <v>62.45608695652174</v>
      </c>
      <c r="Q197" s="66" t="n">
        <v>57.4596</v>
      </c>
      <c r="R197" s="69" t="n">
        <v>0.9065569547995461</v>
      </c>
    </row>
    <row r="198">
      <c r="A198" s="64" t="n">
        <v>10</v>
      </c>
      <c r="B198" s="64" t="n">
        <v>6</v>
      </c>
      <c r="C198" s="64" t="inlineStr">
        <is>
          <t>REPLACE HYD PUMPS/MOTORS</t>
        </is>
      </c>
      <c r="D198" s="64" t="inlineStr">
        <is>
          <t>07260-24716</t>
        </is>
      </c>
      <c r="E198" s="64" t="inlineStr">
        <is>
          <t>HOSE</t>
        </is>
      </c>
      <c r="F198" s="65" t="n">
        <v>2</v>
      </c>
      <c r="G198" s="66" t="n">
        <v>61.31</v>
      </c>
      <c r="H198" s="66" t="n">
        <v>122.61</v>
      </c>
      <c r="I198" s="66" t="n">
        <v>48.62823026071968</v>
      </c>
      <c r="J198" s="66" t="n">
        <v>97.24852898820484</v>
      </c>
      <c r="K198" s="66" t="n">
        <v>56.40520000000001</v>
      </c>
      <c r="L198" s="66" t="n">
        <v>112.8012</v>
      </c>
      <c r="M198" s="67" t="n">
        <v>15.55267101179517</v>
      </c>
      <c r="N198" s="68" t="inlineStr">
        <is>
          <t>MATCH</t>
        </is>
      </c>
      <c r="O198" s="64" t="inlineStr"/>
      <c r="P198" s="66" t="n">
        <v>71.17239130434783</v>
      </c>
      <c r="Q198" s="66" t="n">
        <v>65.4786</v>
      </c>
      <c r="R198" s="69" t="n">
        <v>0.8614295357567205</v>
      </c>
    </row>
    <row r="199">
      <c r="A199" s="64" t="n">
        <v>10</v>
      </c>
      <c r="B199" s="64" t="n">
        <v>6</v>
      </c>
      <c r="C199" s="64" t="inlineStr">
        <is>
          <t>REPLACE HYD PUMPS/MOTORS</t>
        </is>
      </c>
      <c r="D199" s="64" t="inlineStr">
        <is>
          <t>07260-25814</t>
        </is>
      </c>
      <c r="E199" s="64" t="inlineStr">
        <is>
          <t>HOSE</t>
        </is>
      </c>
      <c r="F199" s="65" t="n">
        <v>1</v>
      </c>
      <c r="G199" s="66" t="n">
        <v>42.71</v>
      </c>
      <c r="H199" s="66" t="n">
        <v>42.71</v>
      </c>
      <c r="I199" s="66" t="n">
        <v>33.87557844454962</v>
      </c>
      <c r="J199" s="66" t="n">
        <v>33.87557844454962</v>
      </c>
      <c r="K199" s="66" t="n">
        <v>39.29320000000001</v>
      </c>
      <c r="L199" s="66" t="n">
        <v>39.29320000000001</v>
      </c>
      <c r="M199" s="67" t="n">
        <v>5.417621555450388</v>
      </c>
      <c r="N199" s="68" t="inlineStr">
        <is>
          <t>MATCH</t>
        </is>
      </c>
      <c r="O199" s="64" t="inlineStr"/>
      <c r="P199" s="66" t="n">
        <v>47.11108695652174</v>
      </c>
      <c r="Q199" s="66" t="n">
        <v>43.3422</v>
      </c>
      <c r="R199" s="69" t="n">
        <v>0.9065806534970537</v>
      </c>
    </row>
    <row r="200">
      <c r="A200" s="64" t="n">
        <v>10</v>
      </c>
      <c r="B200" s="64" t="n">
        <v>6</v>
      </c>
      <c r="C200" s="64" t="inlineStr">
        <is>
          <t>REPLACE HYD PUMPS/MOTORS</t>
        </is>
      </c>
      <c r="D200" s="64" t="inlineStr">
        <is>
          <t>07260-27420</t>
        </is>
      </c>
      <c r="E200" s="64" t="inlineStr">
        <is>
          <t>HOSE</t>
        </is>
      </c>
      <c r="F200" s="65" t="n">
        <v>1</v>
      </c>
      <c r="G200" s="66" t="n">
        <v>131.86</v>
      </c>
      <c r="H200" s="66" t="n">
        <v>131.86</v>
      </c>
      <c r="I200" s="66" t="n">
        <v>104.5851972301174</v>
      </c>
      <c r="J200" s="66" t="n">
        <v>104.5851972301174</v>
      </c>
      <c r="K200" s="66" t="n">
        <v>121.3112</v>
      </c>
      <c r="L200" s="66" t="n">
        <v>121.3112</v>
      </c>
      <c r="M200" s="67" t="n">
        <v>16.72600276988264</v>
      </c>
      <c r="N200" s="68" t="inlineStr">
        <is>
          <t>MATCH</t>
        </is>
      </c>
      <c r="O200" s="64" t="inlineStr"/>
      <c r="P200" s="66" t="n">
        <v>145.4439130434783</v>
      </c>
      <c r="Q200" s="66" t="n">
        <v>133.8084</v>
      </c>
      <c r="R200" s="69" t="n">
        <v>0.9066037707647653</v>
      </c>
    </row>
    <row r="201">
      <c r="A201" s="64" t="n">
        <v>10</v>
      </c>
      <c r="B201" s="64" t="n">
        <v>6</v>
      </c>
      <c r="C201" s="64" t="inlineStr">
        <is>
          <t>REPLACE HYD PUMPS/MOTORS</t>
        </is>
      </c>
      <c r="D201" s="64" t="inlineStr">
        <is>
          <t>07260-28718</t>
        </is>
      </c>
      <c r="E201" s="64" t="inlineStr">
        <is>
          <t>HOSE</t>
        </is>
      </c>
      <c r="F201" s="65" t="n">
        <v>4</v>
      </c>
      <c r="G201" s="66" t="n">
        <v>85.56</v>
      </c>
      <c r="H201" s="66" t="n">
        <v>342.24</v>
      </c>
      <c r="I201" s="66" t="n">
        <v>67.86219835438224</v>
      </c>
      <c r="J201" s="66" t="n">
        <v>271.448793417529</v>
      </c>
      <c r="K201" s="66" t="n">
        <v>78.71520000000001</v>
      </c>
      <c r="L201" s="66" t="n">
        <v>314.8608</v>
      </c>
      <c r="M201" s="67" t="n">
        <v>43.41200658247107</v>
      </c>
      <c r="N201" s="68" t="inlineStr">
        <is>
          <t>MATCH</t>
        </is>
      </c>
      <c r="O201" s="64" t="inlineStr"/>
      <c r="P201" s="66" t="n">
        <v>94.37282608695652</v>
      </c>
      <c r="Q201" s="66" t="n">
        <v>86.82300000000001</v>
      </c>
      <c r="R201" s="69" t="n">
        <v>0.906616910265713</v>
      </c>
    </row>
    <row r="202">
      <c r="A202" s="64" t="n">
        <v>10</v>
      </c>
      <c r="B202" s="64" t="n">
        <v>6</v>
      </c>
      <c r="C202" s="64" t="inlineStr">
        <is>
          <t>REPLACE HYD PUMPS/MOTORS</t>
        </is>
      </c>
      <c r="D202" s="64" t="inlineStr">
        <is>
          <t>07260-43236</t>
        </is>
      </c>
      <c r="E202" s="64" t="inlineStr">
        <is>
          <t>HOSE</t>
        </is>
      </c>
      <c r="F202" s="65" t="n">
        <v>1</v>
      </c>
      <c r="G202" s="66" t="n">
        <v>74.45</v>
      </c>
      <c r="H202" s="66" t="n">
        <v>74.45</v>
      </c>
      <c r="I202" s="66" t="n">
        <v>59.05026493085271</v>
      </c>
      <c r="J202" s="66" t="n">
        <v>59.05026493085271</v>
      </c>
      <c r="K202" s="66" t="n">
        <v>68.494</v>
      </c>
      <c r="L202" s="66" t="n">
        <v>68.494</v>
      </c>
      <c r="M202" s="67" t="n">
        <v>9.443735069147287</v>
      </c>
      <c r="N202" s="68" t="inlineStr">
        <is>
          <t>MATCH</t>
        </is>
      </c>
      <c r="O202" s="64" t="inlineStr"/>
      <c r="P202" s="66" t="n">
        <v>88.82021739130435</v>
      </c>
      <c r="Q202" s="66" t="n">
        <v>81.7146</v>
      </c>
      <c r="R202" s="69" t="n">
        <v>0.8382100628284297</v>
      </c>
    </row>
    <row r="203">
      <c r="A203" s="64" t="n">
        <v>10</v>
      </c>
      <c r="B203" s="64" t="n">
        <v>6</v>
      </c>
      <c r="C203" s="64" t="inlineStr">
        <is>
          <t>REPLACE HYD PUMPS/MOTORS</t>
        </is>
      </c>
      <c r="D203" s="64" t="inlineStr">
        <is>
          <t>07289-00035</t>
        </is>
      </c>
      <c r="E203" s="64" t="inlineStr">
        <is>
          <t>CLAMP</t>
        </is>
      </c>
      <c r="F203" s="65" t="n">
        <v>8</v>
      </c>
      <c r="G203" s="66" t="n">
        <v>7.79</v>
      </c>
      <c r="H203" s="66" t="n">
        <v>62.32</v>
      </c>
      <c r="I203" s="66" t="n">
        <v>6.178664389675522</v>
      </c>
      <c r="J203" s="66" t="n">
        <v>49.42931511740417</v>
      </c>
      <c r="K203" s="66" t="n">
        <v>7.1668</v>
      </c>
      <c r="L203" s="66" t="n">
        <v>57.3344</v>
      </c>
      <c r="M203" s="67" t="n">
        <v>7.90508488259583</v>
      </c>
      <c r="N203" s="68" t="inlineStr">
        <is>
          <t>MATCH</t>
        </is>
      </c>
      <c r="O203" s="64" t="inlineStr"/>
      <c r="P203" s="66" t="n">
        <v>8.587173913043479</v>
      </c>
      <c r="Q203" s="66" t="n">
        <v>7.900200000000001</v>
      </c>
      <c r="R203" s="69" t="n">
        <v>0.9071669071669071</v>
      </c>
    </row>
    <row r="204">
      <c r="A204" s="64" t="n">
        <v>10</v>
      </c>
      <c r="B204" s="64" t="n">
        <v>6</v>
      </c>
      <c r="C204" s="64" t="inlineStr">
        <is>
          <t>REPLACE HYD PUMPS/MOTORS</t>
        </is>
      </c>
      <c r="D204" s="64" t="inlineStr">
        <is>
          <t>07289-00045</t>
        </is>
      </c>
      <c r="E204" s="64" t="inlineStr">
        <is>
          <t>CLAMP P60</t>
        </is>
      </c>
      <c r="F204" s="65" t="n">
        <v>20</v>
      </c>
      <c r="G204" s="66" t="n">
        <v>6.06</v>
      </c>
      <c r="H204" s="66" t="n">
        <v>121.21</v>
      </c>
      <c r="I204" s="66" t="n">
        <v>4.806509140107017</v>
      </c>
      <c r="J204" s="66" t="n">
        <v>96.13811433537484</v>
      </c>
      <c r="K204" s="66" t="n">
        <v>5.5752</v>
      </c>
      <c r="L204" s="66" t="n">
        <v>111.5132</v>
      </c>
      <c r="M204" s="67" t="n">
        <v>15.37508566462516</v>
      </c>
      <c r="N204" s="68" t="inlineStr">
        <is>
          <t>MATCH</t>
        </is>
      </c>
      <c r="O204" s="64" t="inlineStr"/>
      <c r="P204" s="66" t="n">
        <v>6.811630434782608</v>
      </c>
      <c r="Q204" s="66" t="n">
        <v>6.2667</v>
      </c>
      <c r="R204" s="69" t="n">
        <v>0.8896548422614773</v>
      </c>
    </row>
    <row r="205">
      <c r="A205" s="64" t="n">
        <v>10</v>
      </c>
      <c r="B205" s="64" t="n">
        <v>6</v>
      </c>
      <c r="C205" s="64" t="inlineStr">
        <is>
          <t>REPLACE HYD PUMPS/MOTORS</t>
        </is>
      </c>
      <c r="D205" s="64" t="inlineStr">
        <is>
          <t>07289-00055</t>
        </is>
      </c>
      <c r="E205" s="64" t="inlineStr">
        <is>
          <t>CLAMP</t>
        </is>
      </c>
      <c r="F205" s="65" t="n">
        <v>4</v>
      </c>
      <c r="G205" s="66" t="n">
        <v>13</v>
      </c>
      <c r="H205" s="66" t="n">
        <v>52</v>
      </c>
      <c r="I205" s="66" t="n">
        <v>10.31099320485004</v>
      </c>
      <c r="J205" s="66" t="n">
        <v>41.24397281940014</v>
      </c>
      <c r="K205" s="66" t="n">
        <v>11.96</v>
      </c>
      <c r="L205" s="66" t="n">
        <v>47.84</v>
      </c>
      <c r="M205" s="67" t="n">
        <v>6.596027180599862</v>
      </c>
      <c r="N205" s="68" t="inlineStr">
        <is>
          <t>MATCH</t>
        </is>
      </c>
      <c r="O205" s="64" t="inlineStr"/>
      <c r="P205" s="66" t="n">
        <v>15.93684782608696</v>
      </c>
      <c r="Q205" s="66" t="n">
        <v>14.6619</v>
      </c>
      <c r="R205" s="69" t="n">
        <v>0.8157196543422066</v>
      </c>
    </row>
    <row r="206">
      <c r="A206" s="64" t="n">
        <v>10</v>
      </c>
      <c r="B206" s="64" t="n">
        <v>6</v>
      </c>
      <c r="C206" s="64" t="inlineStr">
        <is>
          <t>REPLACE HYD PUMPS/MOTORS</t>
        </is>
      </c>
      <c r="D206" s="64" t="inlineStr">
        <is>
          <t>07289-00070</t>
        </is>
      </c>
      <c r="E206" s="64" t="inlineStr">
        <is>
          <t>CLAMP</t>
        </is>
      </c>
      <c r="F206" s="65" t="n">
        <v>8</v>
      </c>
      <c r="G206" s="66" t="n">
        <v>4.71</v>
      </c>
      <c r="H206" s="66" t="n">
        <v>37.68</v>
      </c>
      <c r="I206" s="66" t="n">
        <v>3.735752153449513</v>
      </c>
      <c r="J206" s="66" t="n">
        <v>29.88601722759611</v>
      </c>
      <c r="K206" s="66" t="n">
        <v>4.3332</v>
      </c>
      <c r="L206" s="66" t="n">
        <v>34.6656</v>
      </c>
      <c r="M206" s="67" t="n">
        <v>4.779582772403892</v>
      </c>
      <c r="N206" s="68" t="inlineStr">
        <is>
          <t>MATCH</t>
        </is>
      </c>
      <c r="O206" s="64" t="inlineStr"/>
      <c r="P206" s="66" t="n">
        <v>5.466521739130435</v>
      </c>
      <c r="Q206" s="66" t="n">
        <v>5.0292</v>
      </c>
      <c r="R206" s="69" t="n">
        <v>0.8616082080649009</v>
      </c>
    </row>
    <row r="207">
      <c r="A207" s="64" t="n">
        <v>10</v>
      </c>
      <c r="B207" s="64" t="n">
        <v>6</v>
      </c>
      <c r="C207" s="64" t="inlineStr">
        <is>
          <t>REPLACE HYD PUMPS/MOTORS</t>
        </is>
      </c>
      <c r="D207" s="64" t="inlineStr">
        <is>
          <t>07289-00105</t>
        </is>
      </c>
      <c r="E207" s="64" t="inlineStr">
        <is>
          <t>CLAMP</t>
        </is>
      </c>
      <c r="F207" s="65" t="n">
        <v>16</v>
      </c>
      <c r="G207" s="66" t="n">
        <v>7.95</v>
      </c>
      <c r="H207" s="66" t="n">
        <v>127.2</v>
      </c>
      <c r="I207" s="66" t="n">
        <v>6.305568921427522</v>
      </c>
      <c r="J207" s="66" t="n">
        <v>100.8891027428404</v>
      </c>
      <c r="K207" s="66" t="n">
        <v>7.314</v>
      </c>
      <c r="L207" s="66" t="n">
        <v>117.024</v>
      </c>
      <c r="M207" s="67" t="n">
        <v>16.13489725715965</v>
      </c>
      <c r="N207" s="68" t="inlineStr">
        <is>
          <t>MATCH</t>
        </is>
      </c>
      <c r="O207" s="64" t="inlineStr"/>
      <c r="P207" s="66" t="n">
        <v>8.770108695652175</v>
      </c>
      <c r="Q207" s="66" t="n">
        <v>8.0685</v>
      </c>
      <c r="R207" s="69" t="n">
        <v>0.906488194831753</v>
      </c>
    </row>
    <row r="208">
      <c r="A208" s="64" t="n">
        <v>10</v>
      </c>
      <c r="B208" s="64" t="n">
        <v>6</v>
      </c>
      <c r="C208" s="64" t="inlineStr">
        <is>
          <t>REPLACE HYD PUMPS/MOTORS</t>
        </is>
      </c>
      <c r="D208" s="64" t="inlineStr">
        <is>
          <t>07289-00180</t>
        </is>
      </c>
      <c r="E208" s="64" t="inlineStr">
        <is>
          <t>CLAMP</t>
        </is>
      </c>
      <c r="F208" s="65" t="n">
        <v>4</v>
      </c>
      <c r="G208" s="66" t="n">
        <v>20.11</v>
      </c>
      <c r="H208" s="66" t="n">
        <v>80.44</v>
      </c>
      <c r="I208" s="66" t="n">
        <v>15.95031333457955</v>
      </c>
      <c r="J208" s="66" t="n">
        <v>63.80125333831822</v>
      </c>
      <c r="K208" s="66" t="n">
        <v>18.5012</v>
      </c>
      <c r="L208" s="66" t="n">
        <v>74.0048</v>
      </c>
      <c r="M208" s="67" t="n">
        <v>10.20354666168178</v>
      </c>
      <c r="N208" s="68" t="inlineStr">
        <is>
          <t>MATCH</t>
        </is>
      </c>
      <c r="O208" s="64" t="inlineStr"/>
      <c r="P208" s="66" t="n">
        <v>22.17815217391304</v>
      </c>
      <c r="Q208" s="66" t="n">
        <v>20.4039</v>
      </c>
      <c r="R208" s="69" t="n">
        <v>0.906748219703096</v>
      </c>
    </row>
    <row r="209">
      <c r="A209" s="64" t="n">
        <v>10</v>
      </c>
      <c r="B209" s="64" t="n">
        <v>6</v>
      </c>
      <c r="C209" s="64" t="inlineStr">
        <is>
          <t>REPLACE HYD PUMPS/MOTORS</t>
        </is>
      </c>
      <c r="D209" s="64" t="inlineStr">
        <is>
          <t>07299-00080</t>
        </is>
      </c>
      <c r="E209" s="64" t="inlineStr">
        <is>
          <t>CLAMP</t>
        </is>
      </c>
      <c r="F209" s="65" t="n">
        <v>4</v>
      </c>
      <c r="G209" s="66" t="n">
        <v>21.92</v>
      </c>
      <c r="H209" s="66" t="n">
        <v>87.68000000000001</v>
      </c>
      <c r="I209" s="66" t="n">
        <v>17.38592085002406</v>
      </c>
      <c r="J209" s="66" t="n">
        <v>69.54368340009624</v>
      </c>
      <c r="K209" s="66" t="n">
        <v>20.1664</v>
      </c>
      <c r="L209" s="66" t="n">
        <v>80.66560000000001</v>
      </c>
      <c r="M209" s="67" t="n">
        <v>11.12191659990377</v>
      </c>
      <c r="N209" s="68" t="inlineStr">
        <is>
          <t>MATCH</t>
        </is>
      </c>
      <c r="O209" s="64" t="inlineStr"/>
      <c r="P209" s="66" t="n">
        <v>24.17967391304348</v>
      </c>
      <c r="Q209" s="66" t="n">
        <v>22.2453</v>
      </c>
      <c r="R209" s="69" t="n">
        <v>0.9065465514063646</v>
      </c>
    </row>
    <row r="210">
      <c r="A210" s="64" t="n">
        <v>10</v>
      </c>
      <c r="B210" s="64" t="n">
        <v>6</v>
      </c>
      <c r="C210" s="64" t="inlineStr">
        <is>
          <t>REPLACE HYD PUMPS/MOTORS</t>
        </is>
      </c>
      <c r="D210" s="64" t="inlineStr">
        <is>
          <t>07299-00095</t>
        </is>
      </c>
      <c r="E210" s="64" t="inlineStr">
        <is>
          <t>CLAMP</t>
        </is>
      </c>
      <c r="F210" s="65" t="n">
        <v>4</v>
      </c>
      <c r="G210" s="66" t="n">
        <v>28.16</v>
      </c>
      <c r="H210" s="66" t="n">
        <v>112.64</v>
      </c>
      <c r="I210" s="66" t="n">
        <v>22.33519758835208</v>
      </c>
      <c r="J210" s="66" t="n">
        <v>89.34079035340831</v>
      </c>
      <c r="K210" s="66" t="n">
        <v>25.9072</v>
      </c>
      <c r="L210" s="66" t="n">
        <v>103.6288</v>
      </c>
      <c r="M210" s="67" t="n">
        <v>14.28800964659169</v>
      </c>
      <c r="N210" s="68" t="inlineStr">
        <is>
          <t>MATCH</t>
        </is>
      </c>
      <c r="O210" s="64" t="inlineStr"/>
      <c r="P210" s="66" t="n">
        <v>31.05586956521739</v>
      </c>
      <c r="Q210" s="66" t="n">
        <v>28.5714</v>
      </c>
      <c r="R210" s="69" t="n">
        <v>0.9067529067529069</v>
      </c>
    </row>
    <row r="211">
      <c r="A211" s="64" t="n">
        <v>10</v>
      </c>
      <c r="B211" s="64" t="n">
        <v>6</v>
      </c>
      <c r="C211" s="64" t="inlineStr">
        <is>
          <t>REPLACE HYD PUMPS/MOTORS</t>
        </is>
      </c>
      <c r="D211" s="64" t="inlineStr">
        <is>
          <t>21T-09-31160</t>
        </is>
      </c>
      <c r="E211" s="64" t="inlineStr">
        <is>
          <t>O-RING</t>
        </is>
      </c>
      <c r="F211" s="65" t="n">
        <v>1</v>
      </c>
      <c r="G211" s="66" t="n">
        <v>34.69</v>
      </c>
      <c r="H211" s="66" t="n">
        <v>34.69</v>
      </c>
      <c r="I211" s="66" t="n">
        <v>27.51448879048059</v>
      </c>
      <c r="J211" s="66" t="n">
        <v>27.51448879048059</v>
      </c>
      <c r="K211" s="66" t="n">
        <v>31.9148</v>
      </c>
      <c r="L211" s="66" t="n">
        <v>31.9148</v>
      </c>
      <c r="M211" s="67" t="n">
        <v>4.400311209519405</v>
      </c>
      <c r="N211" s="68" t="inlineStr">
        <is>
          <t>MATCH</t>
        </is>
      </c>
      <c r="O211" s="64" t="inlineStr"/>
      <c r="P211" s="66" t="n">
        <v>40.98815217391305</v>
      </c>
      <c r="Q211" s="66" t="n">
        <v>37.70910000000001</v>
      </c>
      <c r="R211" s="69" t="n">
        <v>0.8463421296185799</v>
      </c>
    </row>
    <row r="212">
      <c r="A212" s="64" t="n">
        <v>10</v>
      </c>
      <c r="B212" s="64" t="n">
        <v>6</v>
      </c>
      <c r="C212" s="64" t="inlineStr">
        <is>
          <t>REPLACE HYD PUMPS/MOTORS</t>
        </is>
      </c>
      <c r="D212" s="64" t="inlineStr">
        <is>
          <t>22X-62-11140M</t>
        </is>
      </c>
      <c r="E212" s="64" t="inlineStr">
        <is>
          <t>O-RING</t>
        </is>
      </c>
      <c r="F212" s="65" t="n">
        <v>2</v>
      </c>
      <c r="G212" s="66" t="n">
        <v>1.44</v>
      </c>
      <c r="H212" s="66" t="n">
        <v>2.88</v>
      </c>
      <c r="I212" s="66" t="n">
        <v>1.142140785768004</v>
      </c>
      <c r="J212" s="66" t="n">
        <v>2.284281571536008</v>
      </c>
      <c r="K212" s="66" t="n">
        <v>1.3248</v>
      </c>
      <c r="L212" s="66" t="n">
        <v>2.6496</v>
      </c>
      <c r="M212" s="67" t="n">
        <v>0.3653184284639921</v>
      </c>
      <c r="N212" s="68" t="inlineStr">
        <is>
          <t>MATCH</t>
        </is>
      </c>
      <c r="O212" s="64" t="inlineStr"/>
      <c r="P212" s="66" t="n">
        <v>1.721739130434783</v>
      </c>
      <c r="Q212" s="66" t="n">
        <v>1.584</v>
      </c>
      <c r="R212" s="69" t="n">
        <v>0.8363636363636363</v>
      </c>
    </row>
    <row r="213">
      <c r="A213" s="64" t="n">
        <v>10</v>
      </c>
      <c r="B213" s="64" t="n">
        <v>6</v>
      </c>
      <c r="C213" s="64" t="inlineStr">
        <is>
          <t>REPLACE HYD PUMPS/MOTORS</t>
        </is>
      </c>
      <c r="D213" s="64" t="inlineStr">
        <is>
          <t>41L-60-21131</t>
        </is>
      </c>
      <c r="E213" s="64" t="inlineStr">
        <is>
          <t>VALVE</t>
        </is>
      </c>
      <c r="F213" s="65" t="n">
        <v>1</v>
      </c>
      <c r="G213" s="66" t="n">
        <v>3060.42</v>
      </c>
      <c r="H213" s="66" t="n">
        <v>3060.42</v>
      </c>
      <c r="I213" s="66" t="n">
        <v>2427.382294152857</v>
      </c>
      <c r="J213" s="66" t="n">
        <v>2427.382294152857</v>
      </c>
      <c r="K213" s="66" t="n">
        <v>2815.5864</v>
      </c>
      <c r="L213" s="66" t="n">
        <v>2815.5864</v>
      </c>
      <c r="M213" s="67" t="n">
        <v>388.2041058471427</v>
      </c>
      <c r="N213" s="68" t="inlineStr">
        <is>
          <t>MATCH</t>
        </is>
      </c>
      <c r="O213" s="64" t="inlineStr"/>
      <c r="P213" s="66" t="n">
        <v>3651.227608695652</v>
      </c>
      <c r="Q213" s="66" t="n">
        <v>3359.1294</v>
      </c>
      <c r="R213" s="69" t="n">
        <v>0.8381893236979797</v>
      </c>
    </row>
    <row r="214">
      <c r="A214" s="64" t="n">
        <v>10</v>
      </c>
      <c r="B214" s="64" t="n">
        <v>6</v>
      </c>
      <c r="C214" s="64" t="inlineStr">
        <is>
          <t>REPLACE HYD PUMPS/MOTORS</t>
        </is>
      </c>
      <c r="D214" s="64" t="inlineStr">
        <is>
          <t>427-62-15280</t>
        </is>
      </c>
      <c r="E214" s="64" t="inlineStr">
        <is>
          <t>HOSE</t>
        </is>
      </c>
      <c r="F214" s="65" t="n">
        <v>1</v>
      </c>
      <c r="G214" s="66" t="n">
        <v>817.78</v>
      </c>
      <c r="H214" s="66" t="n">
        <v>817.78</v>
      </c>
      <c r="I214" s="66" t="n">
        <v>648.6249248509432</v>
      </c>
      <c r="J214" s="66" t="n">
        <v>648.6249248509432</v>
      </c>
      <c r="K214" s="66" t="n">
        <v>752.3576</v>
      </c>
      <c r="L214" s="66" t="n">
        <v>752.3576</v>
      </c>
      <c r="M214" s="67" t="n">
        <v>103.7326751490568</v>
      </c>
      <c r="N214" s="68" t="inlineStr">
        <is>
          <t>MATCH</t>
        </is>
      </c>
      <c r="O214" s="64" t="inlineStr"/>
      <c r="P214" s="66" t="n">
        <v>966.2184782608695</v>
      </c>
      <c r="Q214" s="66" t="n">
        <v>888.9209999999999</v>
      </c>
      <c r="R214" s="69" t="n">
        <v>0.8463717248214409</v>
      </c>
    </row>
    <row r="215">
      <c r="A215" s="64" t="n">
        <v>10</v>
      </c>
      <c r="B215" s="64" t="n">
        <v>6</v>
      </c>
      <c r="C215" s="64" t="inlineStr">
        <is>
          <t>REPLACE HYD PUMPS/MOTORS</t>
        </is>
      </c>
      <c r="D215" s="64" t="inlineStr">
        <is>
          <t>705-21-26181</t>
        </is>
      </c>
      <c r="E215" s="64" t="inlineStr">
        <is>
          <t>PUMP ASSY</t>
        </is>
      </c>
      <c r="F215" s="65" t="n">
        <v>1</v>
      </c>
      <c r="G215" s="66" t="n">
        <v>2095.43</v>
      </c>
      <c r="H215" s="66" t="n">
        <v>2095.43</v>
      </c>
      <c r="I215" s="66" t="n">
        <v>1661.997268556839</v>
      </c>
      <c r="J215" s="66" t="n">
        <v>1661.997268556839</v>
      </c>
      <c r="K215" s="66" t="n">
        <v>1927.7956</v>
      </c>
      <c r="L215" s="66" t="n">
        <v>1927.7956</v>
      </c>
      <c r="M215" s="67" t="n">
        <v>265.7983314431608</v>
      </c>
      <c r="N215" s="68" t="inlineStr">
        <is>
          <t>MATCH</t>
        </is>
      </c>
      <c r="O215" s="64" t="inlineStr"/>
      <c r="P215" s="66" t="n">
        <v>2380.573369565217</v>
      </c>
      <c r="Q215" s="66" t="n">
        <v>2190.1275</v>
      </c>
      <c r="R215" s="69" t="n">
        <v>0.8802207177436016</v>
      </c>
    </row>
    <row r="216">
      <c r="A216" s="64" t="n">
        <v>10</v>
      </c>
      <c r="B216" s="64" t="n">
        <v>6</v>
      </c>
      <c r="C216" s="64" t="inlineStr">
        <is>
          <t>REPLACE HYD PUMPS/MOTORS</t>
        </is>
      </c>
      <c r="D216" s="64" t="inlineStr">
        <is>
          <t>705-40-01041</t>
        </is>
      </c>
      <c r="E216" s="64" t="inlineStr">
        <is>
          <t>PUMP</t>
        </is>
      </c>
      <c r="F216" s="65" t="n">
        <v>1</v>
      </c>
      <c r="G216" s="66" t="n">
        <v>2274.63</v>
      </c>
      <c r="H216" s="66" t="n">
        <v>2274.63</v>
      </c>
      <c r="I216" s="66" t="n">
        <v>1804.13034411908</v>
      </c>
      <c r="J216" s="66" t="n">
        <v>1804.13034411908</v>
      </c>
      <c r="K216" s="66" t="n">
        <v>2092.6596</v>
      </c>
      <c r="L216" s="66" t="n">
        <v>2092.6596</v>
      </c>
      <c r="M216" s="67" t="n">
        <v>288.5292558809206</v>
      </c>
      <c r="N216" s="68" t="inlineStr">
        <is>
          <t>MATCH</t>
        </is>
      </c>
      <c r="O216" s="64" t="inlineStr"/>
      <c r="P216" s="66" t="n">
        <v>2584.158260869565</v>
      </c>
      <c r="Q216" s="66" t="n">
        <v>2377.4256</v>
      </c>
      <c r="R216" s="69" t="n">
        <v>0.8802208573845591</v>
      </c>
    </row>
    <row r="217">
      <c r="A217" s="64" t="n">
        <v>10</v>
      </c>
      <c r="B217" s="64" t="n">
        <v>6</v>
      </c>
      <c r="C217" s="64" t="inlineStr">
        <is>
          <t>REPLACE HYD PUMPS/MOTORS</t>
        </is>
      </c>
      <c r="D217" s="64" t="inlineStr">
        <is>
          <t>705-41-02480</t>
        </is>
      </c>
      <c r="E217" s="64" t="inlineStr">
        <is>
          <t>PUMP</t>
        </is>
      </c>
      <c r="F217" s="65" t="n">
        <v>1</v>
      </c>
      <c r="G217" s="66" t="n">
        <v>2767.56</v>
      </c>
      <c r="H217" s="66" t="n">
        <v>2767.56</v>
      </c>
      <c r="I217" s="66" t="n">
        <v>2195.09941184729</v>
      </c>
      <c r="J217" s="66" t="n">
        <v>2195.09941184729</v>
      </c>
      <c r="K217" s="66" t="n">
        <v>2546.1552</v>
      </c>
      <c r="L217" s="66" t="n">
        <v>2546.1552</v>
      </c>
      <c r="M217" s="67" t="n">
        <v>351.0557881527106</v>
      </c>
      <c r="N217" s="68" t="inlineStr">
        <is>
          <t>MATCH</t>
        </is>
      </c>
      <c r="O217" s="64" t="inlineStr"/>
      <c r="P217" s="66" t="n">
        <v>1913.390217391304</v>
      </c>
      <c r="Q217" s="66" t="n">
        <v>1760.319</v>
      </c>
      <c r="R217" s="69" t="n">
        <v>1.44641692784092</v>
      </c>
    </row>
    <row r="218">
      <c r="A218" s="13" t="n">
        <v>11</v>
      </c>
      <c r="B218" s="13" t="n">
        <v>7</v>
      </c>
      <c r="C218" s="13" t="inlineStr">
        <is>
          <t>REPLACE HOSES AS NECESSARY</t>
        </is>
      </c>
      <c r="D218" s="13" t="inlineStr">
        <is>
          <t>07000-F2070</t>
        </is>
      </c>
      <c r="E218" s="13" t="inlineStr">
        <is>
          <t>O-RING P60</t>
        </is>
      </c>
      <c r="F218" s="34" t="n">
        <v>2</v>
      </c>
      <c r="G218" s="14" t="n">
        <v>14.03</v>
      </c>
      <c r="H218" s="14" t="n">
        <v>28.06</v>
      </c>
      <c r="I218" s="14" t="n">
        <v>11.12794112800354</v>
      </c>
      <c r="J218" s="14" t="n">
        <v>22.25588225600708</v>
      </c>
      <c r="K218" s="14" t="n">
        <v>12.9076</v>
      </c>
      <c r="L218" s="14" t="n">
        <v>25.8152</v>
      </c>
      <c r="M218" s="61" t="n">
        <v>3.559317743992924</v>
      </c>
      <c r="N218" s="54" t="inlineStr">
        <is>
          <t>MATCH</t>
        </is>
      </c>
      <c r="O218" s="13" t="inlineStr"/>
      <c r="P218" s="14" t="n">
        <v>17.19586956521739</v>
      </c>
      <c r="Q218" s="14" t="n">
        <v>15.8202</v>
      </c>
      <c r="R218" s="62" t="n">
        <v>0.8158936043792114</v>
      </c>
    </row>
    <row r="219">
      <c r="A219" s="13" t="n">
        <v>11</v>
      </c>
      <c r="B219" s="13" t="n">
        <v>7</v>
      </c>
      <c r="C219" s="13" t="inlineStr">
        <is>
          <t>REPLACE HOSES AS NECESSARY</t>
        </is>
      </c>
      <c r="D219" s="13" t="inlineStr">
        <is>
          <t>07102-21212</t>
        </is>
      </c>
      <c r="E219" s="13" t="inlineStr">
        <is>
          <t>HOSE</t>
        </is>
      </c>
      <c r="F219" s="34" t="n">
        <v>1</v>
      </c>
      <c r="G219" s="14" t="n">
        <v>499.43</v>
      </c>
      <c r="H219" s="14" t="n">
        <v>499.43</v>
      </c>
      <c r="I219" s="14" t="n">
        <v>396.1245643306349</v>
      </c>
      <c r="J219" s="14" t="n">
        <v>396.1245643306349</v>
      </c>
      <c r="K219" s="14" t="n">
        <v>459.4756</v>
      </c>
      <c r="L219" s="14" t="n">
        <v>459.4756</v>
      </c>
      <c r="M219" s="61" t="n">
        <v>63.35103566936516</v>
      </c>
      <c r="N219" s="54" t="inlineStr">
        <is>
          <t>MATCH</t>
        </is>
      </c>
      <c r="O219" s="13" t="inlineStr"/>
      <c r="P219" s="14" t="n">
        <v>612.0674999999999</v>
      </c>
      <c r="Q219" s="14" t="n">
        <v>563.1021</v>
      </c>
      <c r="R219" s="62" t="n">
        <v>0.8159720945810717</v>
      </c>
    </row>
    <row r="220">
      <c r="A220" s="13" t="n">
        <v>11</v>
      </c>
      <c r="B220" s="13" t="n">
        <v>7</v>
      </c>
      <c r="C220" s="13" t="inlineStr">
        <is>
          <t>REPLACE HOSES AS NECESSARY</t>
        </is>
      </c>
      <c r="D220" s="13" t="inlineStr">
        <is>
          <t>07297-02012</t>
        </is>
      </c>
      <c r="E220" s="13" t="inlineStr">
        <is>
          <t>HOSE</t>
        </is>
      </c>
      <c r="F220" s="34" t="n">
        <v>1</v>
      </c>
      <c r="G220" s="14" t="n">
        <v>451.17</v>
      </c>
      <c r="H220" s="14" t="n">
        <v>451.17</v>
      </c>
      <c r="I220" s="14" t="n">
        <v>357.8469849409378</v>
      </c>
      <c r="J220" s="14" t="n">
        <v>357.8469849409378</v>
      </c>
      <c r="K220" s="14" t="n">
        <v>415.0764</v>
      </c>
      <c r="L220" s="14" t="n">
        <v>415.0764</v>
      </c>
      <c r="M220" s="61" t="n">
        <v>57.22941505906226</v>
      </c>
      <c r="N220" s="54" t="inlineStr">
        <is>
          <t>MATCH</t>
        </is>
      </c>
      <c r="O220" s="13" t="inlineStr"/>
      <c r="P220" s="14" t="n">
        <v>552.9257608695652</v>
      </c>
      <c r="Q220" s="14" t="n">
        <v>508.6917</v>
      </c>
      <c r="R220" s="62" t="n">
        <v>0.8159684932936787</v>
      </c>
    </row>
    <row r="221">
      <c r="A221" s="13" t="n">
        <v>11</v>
      </c>
      <c r="B221" s="13" t="n">
        <v>7</v>
      </c>
      <c r="C221" s="13" t="inlineStr">
        <is>
          <t>REPLACE HOSES AS NECESSARY</t>
        </is>
      </c>
      <c r="D221" s="13" t="inlineStr">
        <is>
          <t>10GS-10FFORX</t>
        </is>
      </c>
      <c r="E221" s="13" t="inlineStr">
        <is>
          <t>G20230-1010 GS</t>
        </is>
      </c>
      <c r="F221" s="34" t="n">
        <v>7</v>
      </c>
      <c r="G221" s="14" t="n">
        <v>34.85</v>
      </c>
      <c r="H221" s="14" t="n">
        <v>243.95</v>
      </c>
      <c r="I221" s="14" t="n">
        <v>27.6413933222326</v>
      </c>
      <c r="J221" s="14" t="n">
        <v>193.4897532556282</v>
      </c>
      <c r="K221" s="14" t="n">
        <v>32.062</v>
      </c>
      <c r="L221" s="14" t="n">
        <v>224.434</v>
      </c>
      <c r="M221" s="61" t="n">
        <v>30.94424674437184</v>
      </c>
      <c r="N221" s="63" t="inlineStr">
        <is>
          <t>NO MATCH</t>
        </is>
      </c>
      <c r="O221" s="13" t="inlineStr">
        <is>
          <t>Gates hyd. fitting (non-Komatsu)</t>
        </is>
      </c>
      <c r="P221" s="14" t="n"/>
      <c r="Q221" s="14" t="n"/>
      <c r="R221" s="62" t="n"/>
    </row>
    <row r="222">
      <c r="A222" s="13" t="n">
        <v>11</v>
      </c>
      <c r="B222" s="13" t="n">
        <v>7</v>
      </c>
      <c r="C222" s="13" t="inlineStr">
        <is>
          <t>REPLACE HOSES AS NECESSARY</t>
        </is>
      </c>
      <c r="D222" s="13" t="inlineStr">
        <is>
          <t>10GS-10FFORX90M</t>
        </is>
      </c>
      <c r="E222" s="13" t="inlineStr">
        <is>
          <t>G20240-1010 GS</t>
        </is>
      </c>
      <c r="F222" s="34" t="n">
        <v>5</v>
      </c>
      <c r="G222" s="14" t="n">
        <v>44.03</v>
      </c>
      <c r="H222" s="14" t="n">
        <v>220.15</v>
      </c>
      <c r="I222" s="14" t="n">
        <v>34.92254083150362</v>
      </c>
      <c r="J222" s="14" t="n">
        <v>174.6127041575181</v>
      </c>
      <c r="K222" s="14" t="n">
        <v>40.5076</v>
      </c>
      <c r="L222" s="14" t="n">
        <v>202.538</v>
      </c>
      <c r="M222" s="61" t="n">
        <v>27.92529584248189</v>
      </c>
      <c r="N222" s="63" t="inlineStr">
        <is>
          <t>NO MATCH</t>
        </is>
      </c>
      <c r="O222" s="13" t="inlineStr">
        <is>
          <t>Gates hyd. fitting (non-Komatsu)</t>
        </is>
      </c>
      <c r="P222" s="14" t="n"/>
      <c r="Q222" s="14" t="n"/>
      <c r="R222" s="62" t="n"/>
    </row>
    <row r="223">
      <c r="A223" s="13" t="n">
        <v>11</v>
      </c>
      <c r="B223" s="13" t="n">
        <v>7</v>
      </c>
      <c r="C223" s="13" t="inlineStr">
        <is>
          <t>REPLACE HOSES AS NECESSARY</t>
        </is>
      </c>
      <c r="D223" s="13" t="inlineStr">
        <is>
          <t>10GS1F-2</t>
        </is>
      </c>
      <c r="E223" s="13" t="inlineStr">
        <is>
          <t>G20995-0210 5/8</t>
        </is>
      </c>
      <c r="F223" s="34" t="n">
        <v>8</v>
      </c>
      <c r="G223" s="14" t="n">
        <v>9.970000000000001</v>
      </c>
      <c r="H223" s="14" t="n">
        <v>79.76000000000001</v>
      </c>
      <c r="I223" s="14" t="n">
        <v>7.907738634796528</v>
      </c>
      <c r="J223" s="14" t="n">
        <v>63.26190907837223</v>
      </c>
      <c r="K223" s="14" t="n">
        <v>9.172400000000001</v>
      </c>
      <c r="L223" s="14" t="n">
        <v>73.37920000000001</v>
      </c>
      <c r="M223" s="61" t="n">
        <v>10.11729092162778</v>
      </c>
      <c r="N223" s="63" t="inlineStr">
        <is>
          <t>NO MATCH</t>
        </is>
      </c>
      <c r="O223" s="13" t="inlineStr">
        <is>
          <t>Gates hyd. fitting (non-Komatsu)</t>
        </is>
      </c>
      <c r="P223" s="14" t="n"/>
      <c r="Q223" s="14" t="n"/>
      <c r="R223" s="62" t="n"/>
    </row>
    <row r="224">
      <c r="A224" s="13" t="n">
        <v>11</v>
      </c>
      <c r="B224" s="13" t="n">
        <v>7</v>
      </c>
      <c r="C224" s="13" t="inlineStr">
        <is>
          <t>REPLACE HOSES AS NECESSARY</t>
        </is>
      </c>
      <c r="D224" s="13" t="inlineStr">
        <is>
          <t>10M2T</t>
        </is>
      </c>
      <c r="E224" s="13" t="inlineStr">
        <is>
          <t>5/8 M2T MEGAFLE</t>
        </is>
      </c>
      <c r="F224" s="34" t="n">
        <v>8</v>
      </c>
      <c r="G224" s="14" t="n">
        <v>9.31</v>
      </c>
      <c r="H224" s="14" t="n">
        <v>74.48</v>
      </c>
      <c r="I224" s="14" t="n">
        <v>7.384257441319527</v>
      </c>
      <c r="J224" s="14" t="n">
        <v>59.07405953055621</v>
      </c>
      <c r="K224" s="14" t="n">
        <v>8.565200000000001</v>
      </c>
      <c r="L224" s="14" t="n">
        <v>68.52160000000001</v>
      </c>
      <c r="M224" s="61" t="n">
        <v>9.447540469443794</v>
      </c>
      <c r="N224" s="63" t="inlineStr">
        <is>
          <t>NO MATCH</t>
        </is>
      </c>
      <c r="O224" s="13" t="inlineStr">
        <is>
          <t>Gates hyd. fitting (non-Komatsu)</t>
        </is>
      </c>
      <c r="P224" s="14" t="n"/>
      <c r="Q224" s="14" t="n"/>
      <c r="R224" s="62" t="n"/>
    </row>
    <row r="225">
      <c r="A225" s="13" t="n">
        <v>11</v>
      </c>
      <c r="B225" s="13" t="n">
        <v>7</v>
      </c>
      <c r="C225" s="13" t="inlineStr">
        <is>
          <t>REPLACE HOSES AS NECESSARY</t>
        </is>
      </c>
      <c r="D225" s="13" t="inlineStr">
        <is>
          <t>10ORFF</t>
        </is>
      </c>
      <c r="E225" s="13" t="inlineStr">
        <is>
          <t>5/8 ORING FLA</t>
        </is>
      </c>
      <c r="F225" s="34" t="n">
        <v>20</v>
      </c>
      <c r="G225" s="14" t="n">
        <v>0.06</v>
      </c>
      <c r="H225" s="14" t="n">
        <v>1.2</v>
      </c>
      <c r="I225" s="14" t="n">
        <v>0.04758919940700017</v>
      </c>
      <c r="J225" s="14" t="n">
        <v>0.9517839881400033</v>
      </c>
      <c r="K225" s="14" t="n">
        <v>0.0552</v>
      </c>
      <c r="L225" s="14" t="n">
        <v>1.104</v>
      </c>
      <c r="M225" s="61" t="n">
        <v>0.1522160118599968</v>
      </c>
      <c r="N225" s="63" t="inlineStr">
        <is>
          <t>NO MATCH</t>
        </is>
      </c>
      <c r="O225" s="13" t="inlineStr">
        <is>
          <t>Gates hyd. fitting (non-Komatsu)</t>
        </is>
      </c>
      <c r="P225" s="14" t="n"/>
      <c r="Q225" s="14" t="n"/>
      <c r="R225" s="62" t="n"/>
    </row>
    <row r="226">
      <c r="A226" s="13" t="n">
        <v>11</v>
      </c>
      <c r="B226" s="13" t="n">
        <v>7</v>
      </c>
      <c r="C226" s="13" t="inlineStr">
        <is>
          <t>REPLACE HOSES AS NECESSARY</t>
        </is>
      </c>
      <c r="D226" s="13" t="inlineStr">
        <is>
          <t>12EFG5K</t>
        </is>
      </c>
      <c r="E226" s="13" t="inlineStr">
        <is>
          <t>HCE-533 NUT 5/8</t>
        </is>
      </c>
      <c r="F226" s="34" t="n">
        <v>39</v>
      </c>
      <c r="G226" s="14" t="n">
        <v>17.94</v>
      </c>
      <c r="H226" s="14" t="n">
        <v>699.66</v>
      </c>
      <c r="I226" s="14" t="n">
        <v>14.22917062269305</v>
      </c>
      <c r="J226" s="14" t="n">
        <v>554.9376542850289</v>
      </c>
      <c r="K226" s="14" t="n">
        <v>16.5048</v>
      </c>
      <c r="L226" s="14" t="n">
        <v>643.6872</v>
      </c>
      <c r="M226" s="61" t="n">
        <v>88.74954571497108</v>
      </c>
      <c r="N226" s="63" t="inlineStr">
        <is>
          <t>NO MATCH</t>
        </is>
      </c>
      <c r="O226" s="13" t="inlineStr">
        <is>
          <t>Gates hyd. fitting (non-Komatsu)</t>
        </is>
      </c>
      <c r="P226" s="14" t="n"/>
      <c r="Q226" s="14" t="n"/>
      <c r="R226" s="62" t="n"/>
    </row>
    <row r="227">
      <c r="A227" s="13" t="n">
        <v>11</v>
      </c>
      <c r="B227" s="13" t="n">
        <v>7</v>
      </c>
      <c r="C227" s="13" t="inlineStr">
        <is>
          <t>REPLACE HOSES AS NECESSARY</t>
        </is>
      </c>
      <c r="D227" s="13" t="inlineStr">
        <is>
          <t>12GS-12FFORX</t>
        </is>
      </c>
      <c r="E227" s="13" t="inlineStr">
        <is>
          <t>G20230-1212 3/4</t>
        </is>
      </c>
      <c r="F227" s="34" t="n">
        <v>53</v>
      </c>
      <c r="G227" s="14" t="n">
        <v>25.02</v>
      </c>
      <c r="H227" s="14" t="n">
        <v>1326.06</v>
      </c>
      <c r="I227" s="14" t="n">
        <v>19.84469615271907</v>
      </c>
      <c r="J227" s="14" t="n">
        <v>1051.768896094111</v>
      </c>
      <c r="K227" s="14" t="n">
        <v>23.0184</v>
      </c>
      <c r="L227" s="14" t="n">
        <v>1219.9752</v>
      </c>
      <c r="M227" s="61" t="n">
        <v>168.2063039058894</v>
      </c>
      <c r="N227" s="63" t="inlineStr">
        <is>
          <t>NO MATCH</t>
        </is>
      </c>
      <c r="O227" s="13" t="inlineStr">
        <is>
          <t>Gates hyd. fitting (non-Komatsu)</t>
        </is>
      </c>
      <c r="P227" s="14" t="n"/>
      <c r="Q227" s="14" t="n"/>
      <c r="R227" s="62" t="n"/>
    </row>
    <row r="228">
      <c r="A228" s="13" t="n">
        <v>11</v>
      </c>
      <c r="B228" s="13" t="n">
        <v>7</v>
      </c>
      <c r="C228" s="13" t="inlineStr">
        <is>
          <t>REPLACE HOSES AS NECESSARY</t>
        </is>
      </c>
      <c r="D228" s="13" t="inlineStr">
        <is>
          <t>12GS-12FFORX45S</t>
        </is>
      </c>
      <c r="E228" s="13" t="inlineStr">
        <is>
          <t>G20234-1212 GS</t>
        </is>
      </c>
      <c r="F228" s="34" t="n">
        <v>5</v>
      </c>
      <c r="G228" s="14" t="n">
        <v>63.42</v>
      </c>
      <c r="H228" s="14" t="n">
        <v>317.1</v>
      </c>
      <c r="I228" s="14" t="n">
        <v>50.30178377319918</v>
      </c>
      <c r="J228" s="14" t="n">
        <v>251.5089188659959</v>
      </c>
      <c r="K228" s="14" t="n">
        <v>58.3464</v>
      </c>
      <c r="L228" s="14" t="n">
        <v>291.732</v>
      </c>
      <c r="M228" s="61" t="n">
        <v>40.22308113400413</v>
      </c>
      <c r="N228" s="63" t="inlineStr">
        <is>
          <t>NO MATCH</t>
        </is>
      </c>
      <c r="O228" s="13" t="inlineStr">
        <is>
          <t>Gates hyd. fitting (non-Komatsu)</t>
        </is>
      </c>
      <c r="P228" s="14" t="n"/>
      <c r="Q228" s="14" t="n"/>
      <c r="R228" s="62" t="n"/>
    </row>
    <row r="229">
      <c r="A229" s="13" t="n">
        <v>11</v>
      </c>
      <c r="B229" s="13" t="n">
        <v>7</v>
      </c>
      <c r="C229" s="13" t="inlineStr">
        <is>
          <t>REPLACE HOSES AS NECESSARY</t>
        </is>
      </c>
      <c r="D229" s="13" t="inlineStr">
        <is>
          <t>12GS-12FFORX90M</t>
        </is>
      </c>
      <c r="E229" s="13" t="inlineStr">
        <is>
          <t>G20240-1212 GS</t>
        </is>
      </c>
      <c r="F229" s="34" t="n">
        <v>15</v>
      </c>
      <c r="G229" s="14" t="n">
        <v>73.06</v>
      </c>
      <c r="H229" s="14" t="n">
        <v>1095.9</v>
      </c>
      <c r="I229" s="14" t="n">
        <v>57.94778181125721</v>
      </c>
      <c r="J229" s="14" t="n">
        <v>869.2167271688581</v>
      </c>
      <c r="K229" s="14" t="n">
        <v>67.21520000000001</v>
      </c>
      <c r="L229" s="14" t="n">
        <v>1008.228</v>
      </c>
      <c r="M229" s="61" t="n">
        <v>139.011272831142</v>
      </c>
      <c r="N229" s="63" t="inlineStr">
        <is>
          <t>NO MATCH</t>
        </is>
      </c>
      <c r="O229" s="13" t="inlineStr">
        <is>
          <t>Gates hyd. fitting (non-Komatsu)</t>
        </is>
      </c>
      <c r="P229" s="14" t="n"/>
      <c r="Q229" s="14" t="n"/>
      <c r="R229" s="62" t="n"/>
    </row>
    <row r="230">
      <c r="A230" s="13" t="n">
        <v>11</v>
      </c>
      <c r="B230" s="13" t="n">
        <v>7</v>
      </c>
      <c r="C230" s="13" t="inlineStr">
        <is>
          <t>REPLACE HOSES AS NECESSARY</t>
        </is>
      </c>
      <c r="D230" s="13" t="inlineStr">
        <is>
          <t>12GS1F-2</t>
        </is>
      </c>
      <c r="E230" s="13" t="inlineStr">
        <is>
          <t>G20995-0212 3/4</t>
        </is>
      </c>
      <c r="F230" s="34" t="n">
        <v>70</v>
      </c>
      <c r="G230" s="14" t="n">
        <v>13.1</v>
      </c>
      <c r="H230" s="14" t="n">
        <v>917</v>
      </c>
      <c r="I230" s="14" t="n">
        <v>10.39030853719504</v>
      </c>
      <c r="J230" s="14" t="n">
        <v>727.3215976036525</v>
      </c>
      <c r="K230" s="14" t="n">
        <v>12.052</v>
      </c>
      <c r="L230" s="14" t="n">
        <v>843.64</v>
      </c>
      <c r="M230" s="61" t="n">
        <v>116.3184023963474</v>
      </c>
      <c r="N230" s="63" t="inlineStr">
        <is>
          <t>NO MATCH</t>
        </is>
      </c>
      <c r="O230" s="13" t="inlineStr">
        <is>
          <t>Gates hyd. fitting (non-Komatsu)</t>
        </is>
      </c>
      <c r="P230" s="14" t="n"/>
      <c r="Q230" s="14" t="n"/>
      <c r="R230" s="62" t="n"/>
    </row>
    <row r="231">
      <c r="A231" s="13" t="n">
        <v>11</v>
      </c>
      <c r="B231" s="13" t="n">
        <v>7</v>
      </c>
      <c r="C231" s="13" t="inlineStr">
        <is>
          <t>REPLACE HOSES AS NECESSARY</t>
        </is>
      </c>
      <c r="D231" s="13" t="inlineStr">
        <is>
          <t>12M2T</t>
        </is>
      </c>
      <c r="E231" s="13" t="inlineStr">
        <is>
          <t>3/4 M2T MEGAFLE</t>
        </is>
      </c>
      <c r="F231" s="34" t="n">
        <v>101</v>
      </c>
      <c r="G231" s="14" t="n">
        <v>12.42</v>
      </c>
      <c r="H231" s="14" t="n">
        <v>1254.42</v>
      </c>
      <c r="I231" s="14" t="n">
        <v>9.850964277249034</v>
      </c>
      <c r="J231" s="14" t="n">
        <v>994.9473920021526</v>
      </c>
      <c r="K231" s="14" t="n">
        <v>11.4264</v>
      </c>
      <c r="L231" s="14" t="n">
        <v>1154.0664</v>
      </c>
      <c r="M231" s="61" t="n">
        <v>159.1190079978476</v>
      </c>
      <c r="N231" s="63" t="inlineStr">
        <is>
          <t>NO MATCH</t>
        </is>
      </c>
      <c r="O231" s="13" t="inlineStr">
        <is>
          <t>Gates hyd. fitting (non-Komatsu)</t>
        </is>
      </c>
      <c r="P231" s="14" t="n"/>
      <c r="Q231" s="14" t="n"/>
      <c r="R231" s="62" t="n"/>
    </row>
    <row r="232">
      <c r="A232" s="13" t="n">
        <v>11</v>
      </c>
      <c r="B232" s="13" t="n">
        <v>7</v>
      </c>
      <c r="C232" s="13" t="inlineStr">
        <is>
          <t>REPLACE HOSES AS NECESSARY</t>
        </is>
      </c>
      <c r="D232" s="13" t="inlineStr">
        <is>
          <t>12ORFF</t>
        </is>
      </c>
      <c r="E232" s="13" t="inlineStr">
        <is>
          <t>3/4 ORING FLA</t>
        </is>
      </c>
      <c r="F232" s="34" t="n">
        <v>44</v>
      </c>
      <c r="G232" s="14" t="n">
        <v>0.1</v>
      </c>
      <c r="H232" s="14" t="n">
        <v>4.4</v>
      </c>
      <c r="I232" s="14" t="n">
        <v>0.07931533234500028</v>
      </c>
      <c r="J232" s="14" t="n">
        <v>3.489874623180012</v>
      </c>
      <c r="K232" s="14" t="n">
        <v>0.09200000000000001</v>
      </c>
      <c r="L232" s="14" t="n">
        <v>4.048000000000001</v>
      </c>
      <c r="M232" s="61" t="n">
        <v>0.5581253768199885</v>
      </c>
      <c r="N232" s="63" t="inlineStr">
        <is>
          <t>NO MATCH</t>
        </is>
      </c>
      <c r="O232" s="13" t="inlineStr">
        <is>
          <t>Gates hyd. fitting (non-Komatsu)</t>
        </is>
      </c>
      <c r="P232" s="14" t="n"/>
      <c r="Q232" s="14" t="n"/>
      <c r="R232" s="62" t="n"/>
    </row>
    <row r="233">
      <c r="A233" s="13" t="n">
        <v>11</v>
      </c>
      <c r="B233" s="13" t="n">
        <v>7</v>
      </c>
      <c r="C233" s="13" t="inlineStr">
        <is>
          <t>REPLACE HOSES AS NECESSARY</t>
        </is>
      </c>
      <c r="D233" s="13" t="inlineStr">
        <is>
          <t>16EFG5K</t>
        </is>
      </c>
      <c r="E233" s="13" t="inlineStr">
        <is>
          <t>1 SAE 100R13 S</t>
        </is>
      </c>
      <c r="F233" s="34" t="n">
        <v>27</v>
      </c>
      <c r="G233" s="14" t="n">
        <v>24.06</v>
      </c>
      <c r="H233" s="14" t="n">
        <v>649.62</v>
      </c>
      <c r="I233" s="14" t="n">
        <v>19.08326896220706</v>
      </c>
      <c r="J233" s="14" t="n">
        <v>515.2482619795908</v>
      </c>
      <c r="K233" s="14" t="n">
        <v>22.1352</v>
      </c>
      <c r="L233" s="14" t="n">
        <v>597.6504</v>
      </c>
      <c r="M233" s="61" t="n">
        <v>82.40213802040921</v>
      </c>
      <c r="N233" s="63" t="inlineStr">
        <is>
          <t>NO MATCH</t>
        </is>
      </c>
      <c r="O233" s="13" t="inlineStr">
        <is>
          <t>Gates hyd. fitting (non-Komatsu)</t>
        </is>
      </c>
      <c r="P233" s="14" t="n"/>
      <c r="Q233" s="14" t="n"/>
      <c r="R233" s="62" t="n"/>
    </row>
    <row r="234">
      <c r="A234" s="13" t="n">
        <v>11</v>
      </c>
      <c r="B234" s="13" t="n">
        <v>7</v>
      </c>
      <c r="C234" s="13" t="inlineStr">
        <is>
          <t>REPLACE HOSES AS NECESSARY</t>
        </is>
      </c>
      <c r="D234" s="13" t="inlineStr">
        <is>
          <t>FI</t>
        </is>
      </c>
      <c r="E234" s="13" t="inlineStr">
        <is>
          <t>FREIGHT IN</t>
        </is>
      </c>
      <c r="F234" s="34" t="n">
        <v>2</v>
      </c>
      <c r="G234" s="14" t="n">
        <v>24.3</v>
      </c>
      <c r="H234" s="14" t="n">
        <v>48.6</v>
      </c>
      <c r="I234" s="14" t="n">
        <v>19.27362575983507</v>
      </c>
      <c r="J234" s="14" t="n">
        <v>38.54725151967013</v>
      </c>
      <c r="K234" s="14" t="n">
        <v>22.356</v>
      </c>
      <c r="L234" s="14" t="n">
        <v>44.712</v>
      </c>
      <c r="M234" s="61" t="n">
        <v>6.16474848032987</v>
      </c>
      <c r="N234" s="63" t="inlineStr">
        <is>
          <t>NO MATCH</t>
        </is>
      </c>
      <c r="O234" s="13" t="inlineStr">
        <is>
          <t>Freight-in</t>
        </is>
      </c>
      <c r="P234" s="14" t="n"/>
      <c r="Q234" s="14" t="n"/>
      <c r="R234" s="62" t="n"/>
    </row>
    <row r="235">
      <c r="A235" s="13" t="n">
        <v>11</v>
      </c>
      <c r="B235" s="13" t="n">
        <v>7</v>
      </c>
      <c r="C235" s="13" t="inlineStr">
        <is>
          <t>REPLACE HOSES AS NECESSARY</t>
        </is>
      </c>
      <c r="D235" s="13" t="inlineStr">
        <is>
          <t>SUBLETP</t>
        </is>
      </c>
      <c r="E235" s="13" t="inlineStr">
        <is>
          <t>COOLANT HOSE</t>
        </is>
      </c>
      <c r="F235" s="34" t="n">
        <v>1</v>
      </c>
      <c r="G235" s="14" t="n">
        <v>153.6</v>
      </c>
      <c r="H235" s="14" t="n">
        <v>153.6</v>
      </c>
      <c r="I235" s="14" t="n">
        <v>121.8283504819204</v>
      </c>
      <c r="J235" s="14" t="n">
        <v>121.8283504819204</v>
      </c>
      <c r="K235" s="14" t="n">
        <v>141.312</v>
      </c>
      <c r="L235" s="14" t="n">
        <v>141.312</v>
      </c>
      <c r="M235" s="14" t="n"/>
      <c r="N235" s="63" t="inlineStr">
        <is>
          <t>NO MATCH</t>
        </is>
      </c>
      <c r="O235" s="13" t="inlineStr">
        <is>
          <t>Sublet / outside service</t>
        </is>
      </c>
      <c r="P235" s="14" t="n"/>
      <c r="Q235" s="14" t="n"/>
      <c r="R235" s="62" t="n"/>
    </row>
    <row r="236">
      <c r="A236" s="13" t="n">
        <v>11</v>
      </c>
      <c r="B236" s="13" t="n">
        <v>7</v>
      </c>
      <c r="C236" s="13" t="inlineStr">
        <is>
          <t>REPLACE HOSES AS NECESSARY</t>
        </is>
      </c>
      <c r="D236" s="13" t="inlineStr">
        <is>
          <t>SUBLETP</t>
        </is>
      </c>
      <c r="E236" s="13" t="inlineStr">
        <is>
          <t>HOSE PROTECTOR</t>
        </is>
      </c>
      <c r="F236" s="34" t="n">
        <v>1</v>
      </c>
      <c r="G236" s="14" t="n">
        <v>106</v>
      </c>
      <c r="H236" s="14" t="n">
        <v>106</v>
      </c>
      <c r="I236" s="14" t="n">
        <v>84.0742522857003</v>
      </c>
      <c r="J236" s="14" t="n">
        <v>84.0742522857003</v>
      </c>
      <c r="K236" s="14" t="n">
        <v>97.52000000000001</v>
      </c>
      <c r="L236" s="14" t="n">
        <v>97.52000000000001</v>
      </c>
      <c r="M236" s="14" t="n"/>
      <c r="N236" s="63" t="inlineStr">
        <is>
          <t>NO MATCH</t>
        </is>
      </c>
      <c r="O236" s="13" t="inlineStr">
        <is>
          <t>Sublet / outside service</t>
        </is>
      </c>
      <c r="P236" s="14" t="n"/>
      <c r="Q236" s="14" t="n"/>
      <c r="R236" s="62" t="n"/>
    </row>
    <row r="237">
      <c r="A237" s="13" t="n">
        <v>11</v>
      </c>
      <c r="B237" s="13" t="n">
        <v>7</v>
      </c>
      <c r="C237" s="13" t="inlineStr">
        <is>
          <t>REPLACE HOSES AS NECESSARY</t>
        </is>
      </c>
      <c r="D237" s="13" t="inlineStr">
        <is>
          <t>SUBLETP</t>
        </is>
      </c>
      <c r="E237" s="13" t="inlineStr">
        <is>
          <t>HOSES</t>
        </is>
      </c>
      <c r="F237" s="34" t="n">
        <v>1</v>
      </c>
      <c r="G237" s="14" t="n">
        <v>1900.76</v>
      </c>
      <c r="H237" s="14" t="n">
        <v>1900.76</v>
      </c>
      <c r="I237" s="14" t="n">
        <v>1507.594111080827</v>
      </c>
      <c r="J237" s="14" t="n">
        <v>1507.594111080827</v>
      </c>
      <c r="K237" s="14" t="n">
        <v>1748.6992</v>
      </c>
      <c r="L237" s="14" t="n">
        <v>1748.6992</v>
      </c>
      <c r="M237" s="14" t="n"/>
      <c r="N237" s="63" t="inlineStr">
        <is>
          <t>NO MATCH</t>
        </is>
      </c>
      <c r="O237" s="13" t="inlineStr">
        <is>
          <t>Sublet / outside service</t>
        </is>
      </c>
      <c r="P237" s="14" t="n"/>
      <c r="Q237" s="14" t="n"/>
      <c r="R237" s="62" t="n"/>
    </row>
    <row r="238">
      <c r="A238" s="13" t="n">
        <v>11</v>
      </c>
      <c r="B238" s="13" t="n">
        <v>7</v>
      </c>
      <c r="C238" s="13" t="inlineStr">
        <is>
          <t>REPLACE HOSES AS NECESSARY</t>
        </is>
      </c>
      <c r="D238" s="13" t="inlineStr">
        <is>
          <t>SUBLETP</t>
        </is>
      </c>
      <c r="E238" s="13" t="inlineStr">
        <is>
          <t>HOSES/FITTINGS</t>
        </is>
      </c>
      <c r="F238" s="34" t="n">
        <v>1</v>
      </c>
      <c r="G238" s="14" t="n">
        <v>8661.030000000001</v>
      </c>
      <c r="H238" s="14" t="n">
        <v>8661.030000000001</v>
      </c>
      <c r="I238" s="14" t="n">
        <v>6869.524729000178</v>
      </c>
      <c r="J238" s="14" t="n">
        <v>6869.524729000178</v>
      </c>
      <c r="K238" s="14" t="n">
        <v>7968.147600000001</v>
      </c>
      <c r="L238" s="14" t="n">
        <v>7968.147600000001</v>
      </c>
      <c r="M238" s="14" t="n"/>
      <c r="N238" s="63" t="inlineStr">
        <is>
          <t>NO MATCH</t>
        </is>
      </c>
      <c r="O238" s="13" t="inlineStr">
        <is>
          <t>Sublet / outside service</t>
        </is>
      </c>
      <c r="P238" s="14" t="n"/>
      <c r="Q238" s="14" t="n"/>
      <c r="R238" s="62" t="n"/>
    </row>
    <row r="239">
      <c r="A239" s="13" t="n">
        <v>12</v>
      </c>
      <c r="B239" s="13" t="n">
        <v>7</v>
      </c>
      <c r="C239" s="13" t="inlineStr">
        <is>
          <t>REPLACE HOSES AS NECESSARY</t>
        </is>
      </c>
      <c r="D239" s="13" t="inlineStr">
        <is>
          <t>16FLOR</t>
        </is>
      </c>
      <c r="E239" s="13" t="inlineStr">
        <is>
          <t>1 O-RING 16FL</t>
        </is>
      </c>
      <c r="F239" s="34" t="n">
        <v>29</v>
      </c>
      <c r="G239" s="14" t="n">
        <v>0.35</v>
      </c>
      <c r="H239" s="14" t="n">
        <v>10.15</v>
      </c>
      <c r="I239" s="14" t="n">
        <v>0.277603663207501</v>
      </c>
      <c r="J239" s="14" t="n">
        <v>8.050506233017529</v>
      </c>
      <c r="K239" s="14" t="n">
        <v>0.322</v>
      </c>
      <c r="L239" s="14" t="n">
        <v>9.338000000000001</v>
      </c>
      <c r="M239" s="61" t="n">
        <v>1.287493766982472</v>
      </c>
      <c r="N239" s="63" t="inlineStr">
        <is>
          <t>NO MATCH</t>
        </is>
      </c>
      <c r="O239" s="13" t="inlineStr">
        <is>
          <t>Gates hyd. fitting (non-Komatsu)</t>
        </is>
      </c>
      <c r="P239" s="14" t="n"/>
      <c r="Q239" s="14" t="n"/>
      <c r="R239" s="62" t="n"/>
    </row>
    <row r="240">
      <c r="A240" s="13" t="n">
        <v>12</v>
      </c>
      <c r="B240" s="13" t="n">
        <v>7</v>
      </c>
      <c r="C240" s="13" t="inlineStr">
        <is>
          <t>REPLACE HOSES AS NECESSARY</t>
        </is>
      </c>
      <c r="D240" s="13" t="inlineStr">
        <is>
          <t>16GS-16FFORX</t>
        </is>
      </c>
      <c r="E240" s="13" t="inlineStr">
        <is>
          <t>G20230-1616 GS</t>
        </is>
      </c>
      <c r="F240" s="34" t="n">
        <v>4</v>
      </c>
      <c r="G240" s="14" t="n">
        <v>42.82</v>
      </c>
      <c r="H240" s="14" t="n">
        <v>171.28</v>
      </c>
      <c r="I240" s="14" t="n">
        <v>33.96282531012912</v>
      </c>
      <c r="J240" s="14" t="n">
        <v>135.8513012405165</v>
      </c>
      <c r="K240" s="14" t="n">
        <v>39.3944</v>
      </c>
      <c r="L240" s="14" t="n">
        <v>157.5776</v>
      </c>
      <c r="M240" s="61" t="n">
        <v>21.72629875948354</v>
      </c>
      <c r="N240" s="63" t="inlineStr">
        <is>
          <t>NO MATCH</t>
        </is>
      </c>
      <c r="O240" s="13" t="inlineStr">
        <is>
          <t>Gates hyd. fitting (non-Komatsu)</t>
        </is>
      </c>
      <c r="P240" s="14" t="n"/>
      <c r="Q240" s="14" t="n"/>
      <c r="R240" s="62" t="n"/>
    </row>
    <row r="241">
      <c r="A241" s="13" t="n">
        <v>12</v>
      </c>
      <c r="B241" s="13" t="n">
        <v>7</v>
      </c>
      <c r="C241" s="13" t="inlineStr">
        <is>
          <t>REPLACE HOSES AS NECESSARY</t>
        </is>
      </c>
      <c r="D241" s="13" t="inlineStr">
        <is>
          <t>16GS-16FL45M</t>
        </is>
      </c>
      <c r="E241" s="13" t="inlineStr">
        <is>
          <t>G20307-1616</t>
        </is>
      </c>
      <c r="F241" s="34" t="n">
        <v>5</v>
      </c>
      <c r="G241" s="14" t="n">
        <v>53.39</v>
      </c>
      <c r="H241" s="14" t="n">
        <v>266.95</v>
      </c>
      <c r="I241" s="14" t="n">
        <v>42.34645593899565</v>
      </c>
      <c r="J241" s="14" t="n">
        <v>211.7322796949782</v>
      </c>
      <c r="K241" s="14" t="n">
        <v>49.1188</v>
      </c>
      <c r="L241" s="14" t="n">
        <v>245.594</v>
      </c>
      <c r="M241" s="61" t="n">
        <v>33.86172030502175</v>
      </c>
      <c r="N241" s="63" t="inlineStr">
        <is>
          <t>NO MATCH</t>
        </is>
      </c>
      <c r="O241" s="13" t="inlineStr">
        <is>
          <t>Gates hyd. fitting (non-Komatsu)</t>
        </is>
      </c>
      <c r="P241" s="14" t="n"/>
      <c r="Q241" s="14" t="n"/>
      <c r="R241" s="62" t="n"/>
    </row>
    <row r="242">
      <c r="A242" s="13" t="n">
        <v>12</v>
      </c>
      <c r="B242" s="13" t="n">
        <v>7</v>
      </c>
      <c r="C242" s="13" t="inlineStr">
        <is>
          <t>REPLACE HOSES AS NECESSARY</t>
        </is>
      </c>
      <c r="D242" s="13" t="inlineStr">
        <is>
          <t>16GS-16FL90M</t>
        </is>
      </c>
      <c r="E242" s="13" t="inlineStr">
        <is>
          <t>G20315-1616</t>
        </is>
      </c>
      <c r="F242" s="34" t="n">
        <v>9</v>
      </c>
      <c r="G242" s="14" t="n">
        <v>52.82</v>
      </c>
      <c r="H242" s="14" t="n">
        <v>475.38</v>
      </c>
      <c r="I242" s="14" t="n">
        <v>41.89435854462915</v>
      </c>
      <c r="J242" s="14" t="n">
        <v>377.0492269016623</v>
      </c>
      <c r="K242" s="14" t="n">
        <v>48.5944</v>
      </c>
      <c r="L242" s="14" t="n">
        <v>437.3496</v>
      </c>
      <c r="M242" s="61" t="n">
        <v>60.30037309833767</v>
      </c>
      <c r="N242" s="63" t="inlineStr">
        <is>
          <t>NO MATCH</t>
        </is>
      </c>
      <c r="O242" s="13" t="inlineStr">
        <is>
          <t>Gates hyd. fitting (non-Komatsu)</t>
        </is>
      </c>
      <c r="P242" s="14" t="n"/>
      <c r="Q242" s="14" t="n"/>
      <c r="R242" s="62" t="n"/>
    </row>
    <row r="243">
      <c r="A243" s="13" t="n">
        <v>12</v>
      </c>
      <c r="B243" s="13" t="n">
        <v>7</v>
      </c>
      <c r="C243" s="13" t="inlineStr">
        <is>
          <t>REPLACE HOSES AS NECESSARY</t>
        </is>
      </c>
      <c r="D243" s="13" t="inlineStr">
        <is>
          <t>16GS1F-2</t>
        </is>
      </c>
      <c r="E243" s="13" t="inlineStr">
        <is>
          <t>G20995-0216 1</t>
        </is>
      </c>
      <c r="F243" s="34" t="n">
        <v>6</v>
      </c>
      <c r="G243" s="14" t="n">
        <v>18.05</v>
      </c>
      <c r="H243" s="14" t="n">
        <v>108.3</v>
      </c>
      <c r="I243" s="14" t="n">
        <v>14.31641748827255</v>
      </c>
      <c r="J243" s="14" t="n">
        <v>85.89850492963529</v>
      </c>
      <c r="K243" s="14" t="n">
        <v>16.606</v>
      </c>
      <c r="L243" s="14" t="n">
        <v>99.636</v>
      </c>
      <c r="M243" s="61" t="n">
        <v>13.7374950703647</v>
      </c>
      <c r="N243" s="63" t="inlineStr">
        <is>
          <t>NO MATCH</t>
        </is>
      </c>
      <c r="O243" s="13" t="inlineStr">
        <is>
          <t>Gates hyd. fitting (non-Komatsu)</t>
        </is>
      </c>
      <c r="P243" s="14" t="n"/>
      <c r="Q243" s="14" t="n"/>
      <c r="R243" s="62" t="n"/>
    </row>
    <row r="244">
      <c r="A244" s="13" t="n">
        <v>12</v>
      </c>
      <c r="B244" s="13" t="n">
        <v>7</v>
      </c>
      <c r="C244" s="13" t="inlineStr">
        <is>
          <t>REPLACE HOSES AS NECESSARY</t>
        </is>
      </c>
      <c r="D244" s="13" t="inlineStr">
        <is>
          <t>16GS1F-4</t>
        </is>
      </c>
      <c r="E244" s="13" t="inlineStr">
        <is>
          <t>G20995-0416</t>
        </is>
      </c>
      <c r="F244" s="34" t="n">
        <v>14</v>
      </c>
      <c r="G244" s="14" t="n">
        <v>17.61</v>
      </c>
      <c r="H244" s="14" t="n">
        <v>246.54</v>
      </c>
      <c r="I244" s="14" t="n">
        <v>13.96743002595455</v>
      </c>
      <c r="J244" s="14" t="n">
        <v>195.5440203633637</v>
      </c>
      <c r="K244" s="14" t="n">
        <v>16.2012</v>
      </c>
      <c r="L244" s="14" t="n">
        <v>226.8168</v>
      </c>
      <c r="M244" s="61" t="n">
        <v>31.27277963663633</v>
      </c>
      <c r="N244" s="63" t="inlineStr">
        <is>
          <t>NO MATCH</t>
        </is>
      </c>
      <c r="O244" s="13" t="inlineStr">
        <is>
          <t>Gates hyd. fitting (non-Komatsu)</t>
        </is>
      </c>
      <c r="P244" s="14" t="n"/>
      <c r="Q244" s="14" t="n"/>
      <c r="R244" s="62" t="n"/>
    </row>
    <row r="245">
      <c r="A245" s="13" t="n">
        <v>12</v>
      </c>
      <c r="B245" s="13" t="n">
        <v>7</v>
      </c>
      <c r="C245" s="13" t="inlineStr">
        <is>
          <t>REPLACE HOSES AS NECESSARY</t>
        </is>
      </c>
      <c r="D245" s="13" t="inlineStr">
        <is>
          <t>16M2T</t>
        </is>
      </c>
      <c r="E245" s="13" t="inlineStr">
        <is>
          <t>1IN M2T MEGAFLE</t>
        </is>
      </c>
      <c r="F245" s="34" t="n">
        <v>4</v>
      </c>
      <c r="G245" s="14" t="n">
        <v>16.03</v>
      </c>
      <c r="H245" s="14" t="n">
        <v>64.12</v>
      </c>
      <c r="I245" s="14" t="n">
        <v>12.71424777490355</v>
      </c>
      <c r="J245" s="14" t="n">
        <v>50.85699109961418</v>
      </c>
      <c r="K245" s="14" t="n">
        <v>14.7476</v>
      </c>
      <c r="L245" s="14" t="n">
        <v>58.99040000000001</v>
      </c>
      <c r="M245" s="61" t="n">
        <v>8.133408900385824</v>
      </c>
      <c r="N245" s="63" t="inlineStr">
        <is>
          <t>NO MATCH</t>
        </is>
      </c>
      <c r="O245" s="13" t="inlineStr">
        <is>
          <t>Gates hyd. fitting (non-Komatsu)</t>
        </is>
      </c>
      <c r="P245" s="14" t="n"/>
      <c r="Q245" s="14" t="n"/>
      <c r="R245" s="62" t="n"/>
    </row>
    <row r="246">
      <c r="A246" s="13" t="n">
        <v>12</v>
      </c>
      <c r="B246" s="13" t="n">
        <v>7</v>
      </c>
      <c r="C246" s="13" t="inlineStr">
        <is>
          <t>REPLACE HOSES AS NECESSARY</t>
        </is>
      </c>
      <c r="D246" s="13" t="inlineStr">
        <is>
          <t>16ORFF</t>
        </is>
      </c>
      <c r="E246" s="13" t="inlineStr">
        <is>
          <t>1 ORING FLAT</t>
        </is>
      </c>
      <c r="F246" s="34" t="n">
        <v>20</v>
      </c>
      <c r="G246" s="14" t="n">
        <v>0.5600000000000001</v>
      </c>
      <c r="H246" s="14" t="n">
        <v>11.2</v>
      </c>
      <c r="I246" s="14" t="n">
        <v>0.4441658611320016</v>
      </c>
      <c r="J246" s="14" t="n">
        <v>8.883317222640031</v>
      </c>
      <c r="K246" s="14" t="n">
        <v>0.5152000000000001</v>
      </c>
      <c r="L246" s="14" t="n">
        <v>10.304</v>
      </c>
      <c r="M246" s="61" t="n">
        <v>1.42068277735997</v>
      </c>
      <c r="N246" s="63" t="inlineStr">
        <is>
          <t>NO MATCH</t>
        </is>
      </c>
      <c r="O246" s="13" t="inlineStr">
        <is>
          <t>Gates hyd. fitting (non-Komatsu)</t>
        </is>
      </c>
      <c r="P246" s="14" t="n"/>
      <c r="Q246" s="14" t="n"/>
      <c r="R246" s="62" t="n"/>
    </row>
    <row r="247">
      <c r="A247" s="13" t="n">
        <v>12</v>
      </c>
      <c r="B247" s="13" t="n">
        <v>7</v>
      </c>
      <c r="C247" s="13" t="inlineStr">
        <is>
          <t>REPLACE HOSES AS NECESSARY</t>
        </is>
      </c>
      <c r="D247" s="13" t="inlineStr">
        <is>
          <t>20EFG3K</t>
        </is>
      </c>
      <c r="E247" s="13" t="inlineStr">
        <is>
          <t>1-1/4 SAE 100R1</t>
        </is>
      </c>
      <c r="F247" s="34" t="n">
        <v>20</v>
      </c>
      <c r="G247" s="14" t="n">
        <v>26.36</v>
      </c>
      <c r="H247" s="14" t="n">
        <v>527.2</v>
      </c>
      <c r="I247" s="14" t="n">
        <v>20.90752160614207</v>
      </c>
      <c r="J247" s="14" t="n">
        <v>418.1504321228415</v>
      </c>
      <c r="K247" s="14" t="n">
        <v>24.2512</v>
      </c>
      <c r="L247" s="14" t="n">
        <v>485.0240000000001</v>
      </c>
      <c r="M247" s="61" t="n">
        <v>66.87356787715856</v>
      </c>
      <c r="N247" s="63" t="inlineStr">
        <is>
          <t>NO MATCH</t>
        </is>
      </c>
      <c r="O247" s="13" t="inlineStr">
        <is>
          <t>Gates hyd. fitting (non-Komatsu)</t>
        </is>
      </c>
      <c r="P247" s="14" t="n"/>
      <c r="Q247" s="14" t="n"/>
      <c r="R247" s="62" t="n"/>
    </row>
    <row r="248">
      <c r="A248" s="13" t="n">
        <v>12</v>
      </c>
      <c r="B248" s="13" t="n">
        <v>7</v>
      </c>
      <c r="C248" s="13" t="inlineStr">
        <is>
          <t>REPLACE HOSES AS NECESSARY</t>
        </is>
      </c>
      <c r="D248" s="13" t="inlineStr">
        <is>
          <t>20EFG5K</t>
        </is>
      </c>
      <c r="E248" s="13" t="inlineStr">
        <is>
          <t>1-1/4 SAE 100R1</t>
        </is>
      </c>
      <c r="F248" s="34" t="n">
        <v>14</v>
      </c>
      <c r="G248" s="14" t="n">
        <v>50.11</v>
      </c>
      <c r="H248" s="14" t="n">
        <v>701.54</v>
      </c>
      <c r="I248" s="14" t="n">
        <v>39.74491303807964</v>
      </c>
      <c r="J248" s="14" t="n">
        <v>556.4287825331149</v>
      </c>
      <c r="K248" s="14" t="n">
        <v>46.1012</v>
      </c>
      <c r="L248" s="14" t="n">
        <v>645.4168</v>
      </c>
      <c r="M248" s="61" t="n">
        <v>88.98801746688503</v>
      </c>
      <c r="N248" s="63" t="inlineStr">
        <is>
          <t>NO MATCH</t>
        </is>
      </c>
      <c r="O248" s="13" t="inlineStr">
        <is>
          <t>Gates hyd. fitting (non-Komatsu)</t>
        </is>
      </c>
      <c r="P248" s="14" t="n"/>
      <c r="Q248" s="14" t="n"/>
      <c r="R248" s="62" t="n"/>
    </row>
    <row r="249">
      <c r="A249" s="13" t="n">
        <v>12</v>
      </c>
      <c r="B249" s="13" t="n">
        <v>7</v>
      </c>
      <c r="C249" s="13" t="inlineStr">
        <is>
          <t>REPLACE HOSES AS NECESSARY</t>
        </is>
      </c>
      <c r="D249" s="13" t="inlineStr">
        <is>
          <t>20FLOR</t>
        </is>
      </c>
      <c r="E249" s="13" t="inlineStr">
        <is>
          <t>1-1/4 ORING 2</t>
        </is>
      </c>
      <c r="F249" s="34" t="n">
        <v>20</v>
      </c>
      <c r="G249" s="14" t="n">
        <v>0.34</v>
      </c>
      <c r="H249" s="14" t="n">
        <v>6.8</v>
      </c>
      <c r="I249" s="14" t="n">
        <v>0.2696721299730009</v>
      </c>
      <c r="J249" s="14" t="n">
        <v>5.393442599460019</v>
      </c>
      <c r="K249" s="14" t="n">
        <v>0.3128</v>
      </c>
      <c r="L249" s="14" t="n">
        <v>6.256</v>
      </c>
      <c r="M249" s="61" t="n">
        <v>0.8625574005399814</v>
      </c>
      <c r="N249" s="63" t="inlineStr">
        <is>
          <t>NO MATCH</t>
        </is>
      </c>
      <c r="O249" s="13" t="inlineStr">
        <is>
          <t>Gates hyd. fitting (non-Komatsu)</t>
        </is>
      </c>
      <c r="P249" s="14" t="n"/>
      <c r="Q249" s="14" t="n"/>
      <c r="R249" s="62" t="n"/>
    </row>
    <row r="250">
      <c r="A250" s="13" t="n">
        <v>12</v>
      </c>
      <c r="B250" s="13" t="n">
        <v>7</v>
      </c>
      <c r="C250" s="13" t="inlineStr">
        <is>
          <t>REPLACE HOSES AS NECESSARY</t>
        </is>
      </c>
      <c r="D250" s="13" t="inlineStr">
        <is>
          <t>20GS-20FL</t>
        </is>
      </c>
      <c r="E250" s="13" t="inlineStr">
        <is>
          <t>G20300-2020</t>
        </is>
      </c>
      <c r="F250" s="34" t="n">
        <v>10</v>
      </c>
      <c r="G250" s="14" t="n">
        <v>52.16</v>
      </c>
      <c r="H250" s="14" t="n">
        <v>521.6</v>
      </c>
      <c r="I250" s="14" t="n">
        <v>41.37087735115215</v>
      </c>
      <c r="J250" s="14" t="n">
        <v>413.7087735115215</v>
      </c>
      <c r="K250" s="14" t="n">
        <v>47.9872</v>
      </c>
      <c r="L250" s="14" t="n">
        <v>479.872</v>
      </c>
      <c r="M250" s="61" t="n">
        <v>66.16322648847853</v>
      </c>
      <c r="N250" s="63" t="inlineStr">
        <is>
          <t>NO MATCH</t>
        </is>
      </c>
      <c r="O250" s="13" t="inlineStr">
        <is>
          <t>Gates hyd. fitting (non-Komatsu)</t>
        </is>
      </c>
      <c r="P250" s="14" t="n"/>
      <c r="Q250" s="14" t="n"/>
      <c r="R250" s="62" t="n"/>
    </row>
    <row r="251">
      <c r="A251" s="13" t="n">
        <v>12</v>
      </c>
      <c r="B251" s="13" t="n">
        <v>7</v>
      </c>
      <c r="C251" s="13" t="inlineStr">
        <is>
          <t>REPLACE HOSES AS NECESSARY</t>
        </is>
      </c>
      <c r="D251" s="13" t="inlineStr">
        <is>
          <t>20GS1F-4</t>
        </is>
      </c>
      <c r="E251" s="13" t="inlineStr">
        <is>
          <t>G20995-0420</t>
        </is>
      </c>
      <c r="F251" s="34" t="n">
        <v>10</v>
      </c>
      <c r="G251" s="14" t="n">
        <v>28.6</v>
      </c>
      <c r="H251" s="14" t="n">
        <v>286</v>
      </c>
      <c r="I251" s="14" t="n">
        <v>22.68418505067008</v>
      </c>
      <c r="J251" s="14" t="n">
        <v>226.8418505067008</v>
      </c>
      <c r="K251" s="14" t="n">
        <v>26.312</v>
      </c>
      <c r="L251" s="14" t="n">
        <v>263.12</v>
      </c>
      <c r="M251" s="61" t="n">
        <v>36.2781494932992</v>
      </c>
      <c r="N251" s="63" t="inlineStr">
        <is>
          <t>NO MATCH</t>
        </is>
      </c>
      <c r="O251" s="13" t="inlineStr">
        <is>
          <t>Gates hyd. fitting (non-Komatsu)</t>
        </is>
      </c>
      <c r="P251" s="14" t="n"/>
      <c r="Q251" s="14" t="n"/>
      <c r="R251" s="62" t="n"/>
    </row>
    <row r="252">
      <c r="A252" s="13" t="n">
        <v>12</v>
      </c>
      <c r="B252" s="13" t="n">
        <v>7</v>
      </c>
      <c r="C252" s="13" t="inlineStr">
        <is>
          <t>REPLACE HOSES AS NECESSARY</t>
        </is>
      </c>
      <c r="D252" s="13" t="inlineStr">
        <is>
          <t>24EFG3K</t>
        </is>
      </c>
      <c r="E252" s="13" t="inlineStr">
        <is>
          <t>1-1/2 EFG3K SPR</t>
        </is>
      </c>
      <c r="F252" s="34" t="n">
        <v>21</v>
      </c>
      <c r="G252" s="14" t="n">
        <v>26.18</v>
      </c>
      <c r="H252" s="14" t="n">
        <v>549.78</v>
      </c>
      <c r="I252" s="14" t="n">
        <v>20.76475400792107</v>
      </c>
      <c r="J252" s="14" t="n">
        <v>436.0598341663425</v>
      </c>
      <c r="K252" s="14" t="n">
        <v>24.0856</v>
      </c>
      <c r="L252" s="14" t="n">
        <v>505.7976</v>
      </c>
      <c r="M252" s="61" t="n">
        <v>69.73776583365748</v>
      </c>
      <c r="N252" s="63" t="inlineStr">
        <is>
          <t>NO MATCH</t>
        </is>
      </c>
      <c r="O252" s="13" t="inlineStr">
        <is>
          <t>Gates hyd. fitting (non-Komatsu)</t>
        </is>
      </c>
      <c r="P252" s="14" t="n"/>
      <c r="Q252" s="14" t="n"/>
      <c r="R252" s="62" t="n"/>
    </row>
    <row r="253">
      <c r="A253" s="13" t="n">
        <v>12</v>
      </c>
      <c r="B253" s="13" t="n">
        <v>7</v>
      </c>
      <c r="C253" s="13" t="inlineStr">
        <is>
          <t>REPLACE HOSES AS NECESSARY</t>
        </is>
      </c>
      <c r="D253" s="13" t="inlineStr">
        <is>
          <t>24EFG5K</t>
        </is>
      </c>
      <c r="E253" s="13" t="inlineStr">
        <is>
          <t>1-1/2 SAE 100R1</t>
        </is>
      </c>
      <c r="F253" s="34" t="n">
        <v>45</v>
      </c>
      <c r="G253" s="14" t="n">
        <v>62.9</v>
      </c>
      <c r="H253" s="14" t="n">
        <v>2830.5</v>
      </c>
      <c r="I253" s="14" t="n">
        <v>49.88934404500517</v>
      </c>
      <c r="J253" s="14" t="n">
        <v>2245.020482025233</v>
      </c>
      <c r="K253" s="14" t="n">
        <v>57.868</v>
      </c>
      <c r="L253" s="14" t="n">
        <v>2604.06</v>
      </c>
      <c r="M253" s="61" t="n">
        <v>359.039517974767</v>
      </c>
      <c r="N253" s="63" t="inlineStr">
        <is>
          <t>NO MATCH</t>
        </is>
      </c>
      <c r="O253" s="13" t="inlineStr">
        <is>
          <t>Gates hyd. fitting (non-Komatsu)</t>
        </is>
      </c>
      <c r="P253" s="14" t="n"/>
      <c r="Q253" s="14" t="n"/>
      <c r="R253" s="62" t="n"/>
    </row>
    <row r="254">
      <c r="A254" s="13" t="n">
        <v>12</v>
      </c>
      <c r="B254" s="13" t="n">
        <v>7</v>
      </c>
      <c r="C254" s="13" t="inlineStr">
        <is>
          <t>REPLACE HOSES AS NECESSARY</t>
        </is>
      </c>
      <c r="D254" s="13" t="inlineStr">
        <is>
          <t>24FLOR</t>
        </is>
      </c>
      <c r="E254" s="13" t="inlineStr">
        <is>
          <t>1-1/2 O-RING</t>
        </is>
      </c>
      <c r="F254" s="34" t="n">
        <v>28</v>
      </c>
      <c r="G254" s="14" t="n">
        <v>0.32</v>
      </c>
      <c r="H254" s="14" t="n">
        <v>8.960000000000001</v>
      </c>
      <c r="I254" s="14" t="n">
        <v>0.2538090635040009</v>
      </c>
      <c r="J254" s="14" t="n">
        <v>7.106653778112025</v>
      </c>
      <c r="K254" s="14" t="n">
        <v>0.2944</v>
      </c>
      <c r="L254" s="14" t="n">
        <v>8.243200000000002</v>
      </c>
      <c r="M254" s="61" t="n">
        <v>1.136546221887976</v>
      </c>
      <c r="N254" s="63" t="inlineStr">
        <is>
          <t>NO MATCH</t>
        </is>
      </c>
      <c r="O254" s="13" t="inlineStr">
        <is>
          <t>Gates hyd. fitting (non-Komatsu)</t>
        </is>
      </c>
      <c r="P254" s="14" t="n"/>
      <c r="Q254" s="14" t="n"/>
      <c r="R254" s="62" t="n"/>
    </row>
    <row r="255">
      <c r="A255" s="13" t="n">
        <v>12</v>
      </c>
      <c r="B255" s="13" t="n">
        <v>7</v>
      </c>
      <c r="C255" s="13" t="inlineStr">
        <is>
          <t>REPLACE HOSES AS NECESSARY</t>
        </is>
      </c>
      <c r="D255" s="13" t="inlineStr">
        <is>
          <t>24GSM-24FLH</t>
        </is>
      </c>
      <c r="E255" s="13" t="inlineStr">
        <is>
          <t>G24350-2424</t>
        </is>
      </c>
      <c r="F255" s="34" t="n">
        <v>15</v>
      </c>
      <c r="G255" s="14" t="n">
        <v>162.98</v>
      </c>
      <c r="H255" s="14" t="n">
        <v>2444.7</v>
      </c>
      <c r="I255" s="14" t="n">
        <v>129.2681286558814</v>
      </c>
      <c r="J255" s="14" t="n">
        <v>1939.021929838222</v>
      </c>
      <c r="K255" s="14" t="n">
        <v>149.9416</v>
      </c>
      <c r="L255" s="14" t="n">
        <v>2249.124</v>
      </c>
      <c r="M255" s="61" t="n">
        <v>310.1020701617781</v>
      </c>
      <c r="N255" s="63" t="inlineStr">
        <is>
          <t>NO MATCH</t>
        </is>
      </c>
      <c r="O255" s="13" t="inlineStr">
        <is>
          <t>Gates hyd. fitting (non-Komatsu)</t>
        </is>
      </c>
      <c r="P255" s="14" t="n"/>
      <c r="Q255" s="14" t="n"/>
      <c r="R255" s="62" t="n"/>
    </row>
    <row r="256">
      <c r="A256" s="13" t="n">
        <v>12</v>
      </c>
      <c r="B256" s="13" t="n">
        <v>7</v>
      </c>
      <c r="C256" s="13" t="inlineStr">
        <is>
          <t>REPLACE HOSES AS NECESSARY</t>
        </is>
      </c>
      <c r="D256" s="13" t="inlineStr">
        <is>
          <t>24GSM-24FLH45M</t>
        </is>
      </c>
      <c r="E256" s="13" t="inlineStr">
        <is>
          <t>G24357-2424</t>
        </is>
      </c>
      <c r="F256" s="34" t="n">
        <v>1</v>
      </c>
      <c r="G256" s="14" t="n">
        <v>193.83</v>
      </c>
      <c r="H256" s="14" t="n">
        <v>193.83</v>
      </c>
      <c r="I256" s="14" t="n">
        <v>153.736908684314</v>
      </c>
      <c r="J256" s="14" t="n">
        <v>153.736908684314</v>
      </c>
      <c r="K256" s="14" t="n">
        <v>178.3236</v>
      </c>
      <c r="L256" s="14" t="n">
        <v>178.3236</v>
      </c>
      <c r="M256" s="61" t="n">
        <v>24.58669131568598</v>
      </c>
      <c r="N256" s="63" t="inlineStr">
        <is>
          <t>NO MATCH</t>
        </is>
      </c>
      <c r="O256" s="13" t="inlineStr">
        <is>
          <t>Gates hyd. fitting (non-Komatsu)</t>
        </is>
      </c>
      <c r="P256" s="14" t="n"/>
      <c r="Q256" s="14" t="n"/>
      <c r="R256" s="62" t="n"/>
    </row>
    <row r="257">
      <c r="A257" s="13" t="n">
        <v>12</v>
      </c>
      <c r="B257" s="13" t="n">
        <v>7</v>
      </c>
      <c r="C257" s="13" t="inlineStr">
        <is>
          <t>REPLACE HOSES AS NECESSARY</t>
        </is>
      </c>
      <c r="D257" s="13" t="inlineStr">
        <is>
          <t>24GSM-24FLH90-094</t>
        </is>
      </c>
      <c r="E257" s="13" t="inlineStr">
        <is>
          <t>G24365-2424</t>
        </is>
      </c>
      <c r="F257" s="34" t="n">
        <v>8</v>
      </c>
      <c r="G257" s="14" t="n">
        <v>240.85</v>
      </c>
      <c r="H257" s="14" t="n">
        <v>1926.8</v>
      </c>
      <c r="I257" s="14" t="n">
        <v>191.0309779529332</v>
      </c>
      <c r="J257" s="14" t="n">
        <v>1528.247823623465</v>
      </c>
      <c r="K257" s="14" t="n">
        <v>221.582</v>
      </c>
      <c r="L257" s="14" t="n">
        <v>1772.656</v>
      </c>
      <c r="M257" s="61" t="n">
        <v>244.4081763765346</v>
      </c>
      <c r="N257" s="63" t="inlineStr">
        <is>
          <t>NO MATCH</t>
        </is>
      </c>
      <c r="O257" s="13" t="inlineStr">
        <is>
          <t>Gates hyd. fitting (non-Komatsu)</t>
        </is>
      </c>
      <c r="P257" s="14" t="n"/>
      <c r="Q257" s="14" t="n"/>
      <c r="R257" s="62" t="n"/>
    </row>
    <row r="258">
      <c r="A258" s="13" t="n">
        <v>12</v>
      </c>
      <c r="B258" s="13" t="n">
        <v>7</v>
      </c>
      <c r="C258" s="13" t="inlineStr">
        <is>
          <t>REPLACE HOSES AS NECESSARY</t>
        </is>
      </c>
      <c r="D258" s="13" t="inlineStr">
        <is>
          <t>24GSP-24FL</t>
        </is>
      </c>
      <c r="E258" s="13" t="inlineStr">
        <is>
          <t>G22300-2424</t>
        </is>
      </c>
      <c r="F258" s="34" t="n">
        <v>8</v>
      </c>
      <c r="G258" s="14" t="n">
        <v>76.01000000000001</v>
      </c>
      <c r="H258" s="14" t="n">
        <v>608.08</v>
      </c>
      <c r="I258" s="14" t="n">
        <v>60.28758411543472</v>
      </c>
      <c r="J258" s="14" t="n">
        <v>482.3006729234777</v>
      </c>
      <c r="K258" s="14" t="n">
        <v>69.92920000000001</v>
      </c>
      <c r="L258" s="14" t="n">
        <v>559.4336000000001</v>
      </c>
      <c r="M258" s="61" t="n">
        <v>77.13292707652232</v>
      </c>
      <c r="N258" s="63" t="inlineStr">
        <is>
          <t>NO MATCH</t>
        </is>
      </c>
      <c r="O258" s="13" t="inlineStr">
        <is>
          <t>Gates hyd. fitting (non-Komatsu)</t>
        </is>
      </c>
      <c r="P258" s="14" t="n"/>
      <c r="Q258" s="14" t="n"/>
      <c r="R258" s="62" t="n"/>
    </row>
    <row r="259">
      <c r="A259" s="13" t="n">
        <v>12</v>
      </c>
      <c r="B259" s="13" t="n">
        <v>7</v>
      </c>
      <c r="C259" s="13" t="inlineStr">
        <is>
          <t>REPLACE HOSES AS NECESSARY</t>
        </is>
      </c>
      <c r="D259" s="13" t="inlineStr">
        <is>
          <t>24GSP-24FL90M</t>
        </is>
      </c>
      <c r="E259" s="13" t="inlineStr">
        <is>
          <t>G22315-2424</t>
        </is>
      </c>
      <c r="F259" s="34" t="n">
        <v>2</v>
      </c>
      <c r="G259" s="14" t="n">
        <v>114.45</v>
      </c>
      <c r="H259" s="14" t="n">
        <v>228.9</v>
      </c>
      <c r="I259" s="14" t="n">
        <v>90.77639786885283</v>
      </c>
      <c r="J259" s="14" t="n">
        <v>181.5527957377057</v>
      </c>
      <c r="K259" s="14" t="n">
        <v>105.294</v>
      </c>
      <c r="L259" s="14" t="n">
        <v>210.588</v>
      </c>
      <c r="M259" s="61" t="n">
        <v>29.03520426229437</v>
      </c>
      <c r="N259" s="63" t="inlineStr">
        <is>
          <t>NO MATCH</t>
        </is>
      </c>
      <c r="O259" s="13" t="inlineStr">
        <is>
          <t>Gates hyd. fitting (non-Komatsu)</t>
        </is>
      </c>
      <c r="P259" s="14" t="n"/>
      <c r="Q259" s="14" t="n"/>
      <c r="R259" s="62" t="n"/>
    </row>
    <row r="260">
      <c r="A260" s="13" t="n">
        <v>12</v>
      </c>
      <c r="B260" s="13" t="n">
        <v>7</v>
      </c>
      <c r="C260" s="13" t="inlineStr">
        <is>
          <t>REPLACE HOSES AS NECESSARY</t>
        </is>
      </c>
      <c r="D260" s="13" t="inlineStr">
        <is>
          <t>24GSP1F-4</t>
        </is>
      </c>
      <c r="E260" s="13" t="inlineStr">
        <is>
          <t>G22995-0424 1-1/2</t>
        </is>
      </c>
      <c r="F260" s="34" t="n">
        <v>6</v>
      </c>
      <c r="G260" s="14" t="n">
        <v>40.32</v>
      </c>
      <c r="H260" s="14" t="n">
        <v>241.92</v>
      </c>
      <c r="I260" s="14" t="n">
        <v>31.97994200150411</v>
      </c>
      <c r="J260" s="14" t="n">
        <v>191.8796520090247</v>
      </c>
      <c r="K260" s="14" t="n">
        <v>37.0944</v>
      </c>
      <c r="L260" s="14" t="n">
        <v>222.5664</v>
      </c>
      <c r="M260" s="61" t="n">
        <v>30.68674799097533</v>
      </c>
      <c r="N260" s="63" t="inlineStr">
        <is>
          <t>NO MATCH</t>
        </is>
      </c>
      <c r="O260" s="13" t="inlineStr">
        <is>
          <t>Gates hyd. fitting (non-Komatsu)</t>
        </is>
      </c>
      <c r="P260" s="14" t="n"/>
      <c r="Q260" s="14" t="n"/>
      <c r="R260" s="62" t="n"/>
    </row>
    <row r="261">
      <c r="A261" s="13" t="n">
        <v>13</v>
      </c>
      <c r="B261" s="13" t="n">
        <v>7</v>
      </c>
      <c r="C261" s="13" t="inlineStr">
        <is>
          <t>REPLACE HOSES AS NECESSARY</t>
        </is>
      </c>
      <c r="D261" s="13" t="inlineStr">
        <is>
          <t>32EFG3K</t>
        </is>
      </c>
      <c r="E261" s="13" t="inlineStr">
        <is>
          <t>HYD HOSE</t>
        </is>
      </c>
      <c r="F261" s="34" t="n">
        <v>11</v>
      </c>
      <c r="G261" s="14" t="n">
        <v>31.71</v>
      </c>
      <c r="H261" s="14" t="n">
        <v>348.81</v>
      </c>
      <c r="I261" s="14" t="n">
        <v>25.15089188659959</v>
      </c>
      <c r="J261" s="14" t="n">
        <v>276.6598107525955</v>
      </c>
      <c r="K261" s="14" t="n">
        <v>29.1732</v>
      </c>
      <c r="L261" s="14" t="n">
        <v>320.9052</v>
      </c>
      <c r="M261" s="61" t="n">
        <v>44.24538924740455</v>
      </c>
      <c r="N261" s="63" t="inlineStr">
        <is>
          <t>NO MATCH</t>
        </is>
      </c>
      <c r="O261" s="13" t="inlineStr">
        <is>
          <t>Gates hyd. fitting (non-Komatsu)</t>
        </is>
      </c>
      <c r="P261" s="14" t="n"/>
      <c r="Q261" s="14" t="n"/>
      <c r="R261" s="62" t="n"/>
    </row>
    <row r="262">
      <c r="A262" s="13" t="n">
        <v>13</v>
      </c>
      <c r="B262" s="13" t="n">
        <v>7</v>
      </c>
      <c r="C262" s="13" t="inlineStr">
        <is>
          <t>REPLACE HOSES AS NECESSARY</t>
        </is>
      </c>
      <c r="D262" s="13" t="inlineStr">
        <is>
          <t>32FLOR</t>
        </is>
      </c>
      <c r="E262" s="13" t="inlineStr">
        <is>
          <t>O-RING 32FL 90</t>
        </is>
      </c>
      <c r="F262" s="34" t="n">
        <v>20</v>
      </c>
      <c r="G262" s="14" t="n">
        <v>0.5</v>
      </c>
      <c r="H262" s="14" t="n">
        <v>10</v>
      </c>
      <c r="I262" s="14" t="n">
        <v>0.3965766617250014</v>
      </c>
      <c r="J262" s="14" t="n">
        <v>7.931533234500028</v>
      </c>
      <c r="K262" s="14" t="n">
        <v>0.46</v>
      </c>
      <c r="L262" s="14" t="n">
        <v>9.200000000000001</v>
      </c>
      <c r="M262" s="61" t="n">
        <v>1.268466765499973</v>
      </c>
      <c r="N262" s="63" t="inlineStr">
        <is>
          <t>NO MATCH</t>
        </is>
      </c>
      <c r="O262" s="13" t="inlineStr">
        <is>
          <t>Gates hyd. fitting (non-Komatsu)</t>
        </is>
      </c>
      <c r="P262" s="14" t="n"/>
      <c r="Q262" s="14" t="n"/>
      <c r="R262" s="62" t="n"/>
    </row>
    <row r="263">
      <c r="A263" s="13" t="n">
        <v>13</v>
      </c>
      <c r="B263" s="13" t="n">
        <v>7</v>
      </c>
      <c r="C263" s="13" t="inlineStr">
        <is>
          <t>REPLACE HOSES AS NECESSARY</t>
        </is>
      </c>
      <c r="D263" s="13" t="inlineStr">
        <is>
          <t>32GSP-32FL</t>
        </is>
      </c>
      <c r="E263" s="13" t="inlineStr">
        <is>
          <t>G22300-3232 2</t>
        </is>
      </c>
      <c r="F263" s="34" t="n">
        <v>1</v>
      </c>
      <c r="G263" s="14" t="n">
        <v>120.41</v>
      </c>
      <c r="H263" s="14" t="n">
        <v>120.41</v>
      </c>
      <c r="I263" s="14" t="n">
        <v>95.50359167661483</v>
      </c>
      <c r="J263" s="14" t="n">
        <v>95.50359167661483</v>
      </c>
      <c r="K263" s="14" t="n">
        <v>110.7772</v>
      </c>
      <c r="L263" s="14" t="n">
        <v>110.7772</v>
      </c>
      <c r="M263" s="61" t="n">
        <v>15.27360832338518</v>
      </c>
      <c r="N263" s="63" t="inlineStr">
        <is>
          <t>NO MATCH</t>
        </is>
      </c>
      <c r="O263" s="13" t="inlineStr">
        <is>
          <t>Gates hyd. fitting (non-Komatsu)</t>
        </is>
      </c>
      <c r="P263" s="14" t="n"/>
      <c r="Q263" s="14" t="n"/>
      <c r="R263" s="62" t="n"/>
    </row>
    <row r="264">
      <c r="A264" s="13" t="n">
        <v>13</v>
      </c>
      <c r="B264" s="13" t="n">
        <v>7</v>
      </c>
      <c r="C264" s="13" t="inlineStr">
        <is>
          <t>REPLACE HOSES AS NECESSARY</t>
        </is>
      </c>
      <c r="D264" s="13" t="inlineStr">
        <is>
          <t>32GSP1F-4</t>
        </is>
      </c>
      <c r="E264" s="13" t="inlineStr">
        <is>
          <t>G22995-0432 2</t>
        </is>
      </c>
      <c r="F264" s="34" t="n">
        <v>2</v>
      </c>
      <c r="G264" s="14" t="n">
        <v>47.08</v>
      </c>
      <c r="H264" s="14" t="n">
        <v>94.16</v>
      </c>
      <c r="I264" s="14" t="n">
        <v>37.34165846802613</v>
      </c>
      <c r="J264" s="14" t="n">
        <v>74.68331693605226</v>
      </c>
      <c r="K264" s="14" t="n">
        <v>43.3136</v>
      </c>
      <c r="L264" s="14" t="n">
        <v>86.6272</v>
      </c>
      <c r="M264" s="61" t="n">
        <v>11.94388306394774</v>
      </c>
      <c r="N264" s="63" t="inlineStr">
        <is>
          <t>NO MATCH</t>
        </is>
      </c>
      <c r="O264" s="13" t="inlineStr">
        <is>
          <t>Gates hyd. fitting (non-Komatsu)</t>
        </is>
      </c>
      <c r="P264" s="14" t="n"/>
      <c r="Q264" s="14" t="n"/>
      <c r="R264" s="62" t="n"/>
    </row>
    <row r="265">
      <c r="A265" s="13" t="n">
        <v>13</v>
      </c>
      <c r="B265" s="13" t="n">
        <v>7</v>
      </c>
      <c r="C265" s="13" t="inlineStr">
        <is>
          <t>REPLACE HOSES AS NECESSARY</t>
        </is>
      </c>
      <c r="D265" s="13" t="inlineStr">
        <is>
          <t>427-32-25630</t>
        </is>
      </c>
      <c r="E265" s="13" t="inlineStr">
        <is>
          <t>HOSE</t>
        </is>
      </c>
      <c r="F265" s="34" t="n">
        <v>1</v>
      </c>
      <c r="G265" s="14" t="n">
        <v>94.05</v>
      </c>
      <c r="H265" s="14" t="n">
        <v>94.05</v>
      </c>
      <c r="I265" s="14" t="n">
        <v>74.59607007047276</v>
      </c>
      <c r="J265" s="14" t="n">
        <v>74.59607007047276</v>
      </c>
      <c r="K265" s="14" t="n">
        <v>86.526</v>
      </c>
      <c r="L265" s="14" t="n">
        <v>86.526</v>
      </c>
      <c r="M265" s="61" t="n">
        <v>11.92992992952723</v>
      </c>
      <c r="N265" s="54" t="inlineStr">
        <is>
          <t>MATCH</t>
        </is>
      </c>
      <c r="O265" s="13" t="inlineStr"/>
      <c r="P265" s="14" t="n">
        <v>116.3895652173913</v>
      </c>
      <c r="Q265" s="14" t="n">
        <v>107.0784</v>
      </c>
      <c r="R265" s="62" t="n">
        <v>0.8080621301775147</v>
      </c>
    </row>
    <row r="266">
      <c r="A266" s="13" t="n">
        <v>13</v>
      </c>
      <c r="B266" s="13" t="n">
        <v>7</v>
      </c>
      <c r="C266" s="13" t="inlineStr">
        <is>
          <t>REPLACE HOSES AS NECESSARY</t>
        </is>
      </c>
      <c r="D266" s="13" t="inlineStr">
        <is>
          <t>427-62-13932</t>
        </is>
      </c>
      <c r="E266" s="13" t="inlineStr">
        <is>
          <t>HOSE</t>
        </is>
      </c>
      <c r="F266" s="34" t="n">
        <v>1</v>
      </c>
      <c r="G266" s="14" t="n">
        <v>557.62</v>
      </c>
      <c r="H266" s="14" t="n">
        <v>557.62</v>
      </c>
      <c r="I266" s="14" t="n">
        <v>442.2781562221905</v>
      </c>
      <c r="J266" s="14" t="n">
        <v>442.2781562221905</v>
      </c>
      <c r="K266" s="14" t="n">
        <v>513.0104</v>
      </c>
      <c r="L266" s="14" t="n">
        <v>513.0104</v>
      </c>
      <c r="M266" s="61" t="n">
        <v>70.73224377780946</v>
      </c>
      <c r="N266" s="54" t="inlineStr">
        <is>
          <t>MATCH</t>
        </is>
      </c>
      <c r="O266" s="13" t="inlineStr"/>
      <c r="P266" s="14" t="n">
        <v>690.0515217391304</v>
      </c>
      <c r="Q266" s="14" t="n">
        <v>634.8474</v>
      </c>
      <c r="R266" s="62" t="n">
        <v>0.8080845885168625</v>
      </c>
    </row>
    <row r="267">
      <c r="A267" s="13" t="n">
        <v>13</v>
      </c>
      <c r="B267" s="13" t="n">
        <v>7</v>
      </c>
      <c r="C267" s="13" t="inlineStr">
        <is>
          <t>REPLACE HOSES AS NECESSARY</t>
        </is>
      </c>
      <c r="D267" s="13" t="inlineStr">
        <is>
          <t>427-62-21921</t>
        </is>
      </c>
      <c r="E267" s="13" t="inlineStr">
        <is>
          <t>HOSE</t>
        </is>
      </c>
      <c r="F267" s="34" t="n">
        <v>1</v>
      </c>
      <c r="G267" s="14" t="n">
        <v>62.86</v>
      </c>
      <c r="H267" s="14" t="n">
        <v>62.86</v>
      </c>
      <c r="I267" s="14" t="n">
        <v>49.85761791206718</v>
      </c>
      <c r="J267" s="14" t="n">
        <v>49.85761791206718</v>
      </c>
      <c r="K267" s="14" t="n">
        <v>57.8312</v>
      </c>
      <c r="L267" s="14" t="n">
        <v>57.8312</v>
      </c>
      <c r="M267" s="61" t="n">
        <v>7.973582087932826</v>
      </c>
      <c r="N267" s="54" t="inlineStr">
        <is>
          <t>MATCH</t>
        </is>
      </c>
      <c r="O267" s="13" t="inlineStr"/>
      <c r="P267" s="14" t="n">
        <v>77.02630434782608</v>
      </c>
      <c r="Q267" s="14" t="n">
        <v>70.8642</v>
      </c>
      <c r="R267" s="62" t="n">
        <v>0.8160848496137684</v>
      </c>
    </row>
    <row r="268">
      <c r="A268" s="13" t="n">
        <v>13</v>
      </c>
      <c r="B268" s="13" t="n">
        <v>7</v>
      </c>
      <c r="C268" s="13" t="inlineStr">
        <is>
          <t>REPLACE HOSES AS NECESSARY</t>
        </is>
      </c>
      <c r="D268" s="13" t="inlineStr">
        <is>
          <t>427-62-21931</t>
        </is>
      </c>
      <c r="E268" s="13" t="inlineStr">
        <is>
          <t>HOSE</t>
        </is>
      </c>
      <c r="F268" s="34" t="n">
        <v>1</v>
      </c>
      <c r="G268" s="14" t="n">
        <v>62.61</v>
      </c>
      <c r="H268" s="14" t="n">
        <v>62.61</v>
      </c>
      <c r="I268" s="14" t="n">
        <v>49.65932958120467</v>
      </c>
      <c r="J268" s="14" t="n">
        <v>49.65932958120467</v>
      </c>
      <c r="K268" s="14" t="n">
        <v>57.6012</v>
      </c>
      <c r="L268" s="14" t="n">
        <v>57.6012</v>
      </c>
      <c r="M268" s="61" t="n">
        <v>7.941870418795325</v>
      </c>
      <c r="N268" s="54" t="inlineStr">
        <is>
          <t>MATCH</t>
        </is>
      </c>
      <c r="O268" s="13" t="inlineStr"/>
      <c r="P268" s="14" t="n">
        <v>76.73576086956523</v>
      </c>
      <c r="Q268" s="14" t="n">
        <v>70.59690000000001</v>
      </c>
      <c r="R268" s="62" t="n">
        <v>0.815916846207128</v>
      </c>
    </row>
    <row r="269">
      <c r="A269" s="13" t="n">
        <v>13</v>
      </c>
      <c r="B269" s="13" t="n">
        <v>7</v>
      </c>
      <c r="C269" s="13" t="inlineStr">
        <is>
          <t>REPLACE HOSES AS NECESSARY</t>
        </is>
      </c>
      <c r="D269" s="13" t="inlineStr">
        <is>
          <t>427-62-21941</t>
        </is>
      </c>
      <c r="E269" s="13" t="inlineStr">
        <is>
          <t>HOSE</t>
        </is>
      </c>
      <c r="F269" s="34" t="n">
        <v>1</v>
      </c>
      <c r="G269" s="14" t="n">
        <v>64.37</v>
      </c>
      <c r="H269" s="14" t="n">
        <v>64.37</v>
      </c>
      <c r="I269" s="14" t="n">
        <v>51.05527943047668</v>
      </c>
      <c r="J269" s="14" t="n">
        <v>51.05527943047668</v>
      </c>
      <c r="K269" s="14" t="n">
        <v>59.22040000000001</v>
      </c>
      <c r="L269" s="14" t="n">
        <v>59.22040000000001</v>
      </c>
      <c r="M269" s="61" t="n">
        <v>8.165120569523324</v>
      </c>
      <c r="N269" s="54" t="inlineStr">
        <is>
          <t>MATCH</t>
        </is>
      </c>
      <c r="O269" s="13" t="inlineStr"/>
      <c r="P269" s="14" t="n">
        <v>78.87717391304346</v>
      </c>
      <c r="Q269" s="14" t="n">
        <v>72.56699999999999</v>
      </c>
      <c r="R269" s="62" t="n">
        <v>0.8160789339506941</v>
      </c>
    </row>
    <row r="270">
      <c r="A270" s="13" t="n">
        <v>13</v>
      </c>
      <c r="B270" s="13" t="n">
        <v>7</v>
      </c>
      <c r="C270" s="13" t="inlineStr">
        <is>
          <t>REPLACE HOSES AS NECESSARY</t>
        </is>
      </c>
      <c r="D270" s="13" t="inlineStr">
        <is>
          <t>427-62-21951</t>
        </is>
      </c>
      <c r="E270" s="13" t="inlineStr">
        <is>
          <t>HOSE</t>
        </is>
      </c>
      <c r="F270" s="34" t="n">
        <v>1</v>
      </c>
      <c r="G270" s="14" t="n">
        <v>63.09</v>
      </c>
      <c r="H270" s="14" t="n">
        <v>63.09</v>
      </c>
      <c r="I270" s="14" t="n">
        <v>50.04004317646068</v>
      </c>
      <c r="J270" s="14" t="n">
        <v>50.04004317646068</v>
      </c>
      <c r="K270" s="14" t="n">
        <v>58.04280000000001</v>
      </c>
      <c r="L270" s="14" t="n">
        <v>58.04280000000001</v>
      </c>
      <c r="M270" s="61" t="n">
        <v>8.002756823539329</v>
      </c>
      <c r="N270" s="54" t="inlineStr">
        <is>
          <t>MATCH</t>
        </is>
      </c>
      <c r="O270" s="13" t="inlineStr"/>
      <c r="P270" s="14" t="n">
        <v>77.31684782608694</v>
      </c>
      <c r="Q270" s="14" t="n">
        <v>71.13149999999999</v>
      </c>
      <c r="R270" s="62" t="n">
        <v>0.8159929145315369</v>
      </c>
    </row>
    <row r="271">
      <c r="A271" s="13" t="n">
        <v>13</v>
      </c>
      <c r="B271" s="13" t="n">
        <v>7</v>
      </c>
      <c r="C271" s="13" t="inlineStr">
        <is>
          <t>REPLACE HOSES AS NECESSARY</t>
        </is>
      </c>
      <c r="D271" s="13" t="inlineStr">
        <is>
          <t>4G-4FFORX</t>
        </is>
      </c>
      <c r="E271" s="13" t="inlineStr">
        <is>
          <t>G25230-0404 MEG</t>
        </is>
      </c>
      <c r="F271" s="34" t="n">
        <v>19</v>
      </c>
      <c r="G271" s="14" t="n">
        <v>10.54</v>
      </c>
      <c r="H271" s="14" t="n">
        <v>200.26</v>
      </c>
      <c r="I271" s="14" t="n">
        <v>8.359836029163029</v>
      </c>
      <c r="J271" s="14" t="n">
        <v>158.8368845540975</v>
      </c>
      <c r="K271" s="14" t="n">
        <v>9.6968</v>
      </c>
      <c r="L271" s="14" t="n">
        <v>184.2392</v>
      </c>
      <c r="M271" s="61" t="n">
        <v>25.40231544590247</v>
      </c>
      <c r="N271" s="63" t="inlineStr">
        <is>
          <t>NO MATCH</t>
        </is>
      </c>
      <c r="O271" s="13" t="inlineStr">
        <is>
          <t>Gates hyd. fitting (non-Komatsu)</t>
        </is>
      </c>
      <c r="P271" s="14" t="n"/>
      <c r="Q271" s="14" t="n"/>
      <c r="R271" s="62" t="n"/>
    </row>
    <row r="272">
      <c r="A272" s="13" t="n">
        <v>13</v>
      </c>
      <c r="B272" s="13" t="n">
        <v>7</v>
      </c>
      <c r="C272" s="13" t="inlineStr">
        <is>
          <t>REPLACE HOSES AS NECESSARY</t>
        </is>
      </c>
      <c r="D272" s="13" t="inlineStr">
        <is>
          <t>4G-4FFORX45S</t>
        </is>
      </c>
      <c r="E272" s="13" t="inlineStr">
        <is>
          <t>ELBOW</t>
        </is>
      </c>
      <c r="F272" s="34" t="n">
        <v>5</v>
      </c>
      <c r="G272" s="14" t="n">
        <v>20.71</v>
      </c>
      <c r="H272" s="14" t="n">
        <v>103.55</v>
      </c>
      <c r="I272" s="14" t="n">
        <v>16.42620532864956</v>
      </c>
      <c r="J272" s="14" t="n">
        <v>82.13102664324778</v>
      </c>
      <c r="K272" s="14" t="n">
        <v>19.0532</v>
      </c>
      <c r="L272" s="14" t="n">
        <v>95.26600000000001</v>
      </c>
      <c r="M272" s="61" t="n">
        <v>13.13497335675223</v>
      </c>
      <c r="N272" s="63" t="inlineStr">
        <is>
          <t>NO MATCH</t>
        </is>
      </c>
      <c r="O272" s="13" t="inlineStr">
        <is>
          <t>Gates hyd. fitting (non-Komatsu)</t>
        </is>
      </c>
      <c r="P272" s="14" t="n"/>
      <c r="Q272" s="14" t="n"/>
      <c r="R272" s="62" t="n"/>
    </row>
    <row r="273">
      <c r="A273" s="13" t="n">
        <v>13</v>
      </c>
      <c r="B273" s="13" t="n">
        <v>7</v>
      </c>
      <c r="C273" s="13" t="inlineStr">
        <is>
          <t>REPLACE HOSES AS NECESSARY</t>
        </is>
      </c>
      <c r="D273" s="13" t="inlineStr">
        <is>
          <t>4G-4FFORX90M</t>
        </is>
      </c>
      <c r="E273" s="13" t="inlineStr">
        <is>
          <t>G25240-0404 MEG</t>
        </is>
      </c>
      <c r="F273" s="34" t="n">
        <v>11</v>
      </c>
      <c r="G273" s="14" t="n">
        <v>22.34</v>
      </c>
      <c r="H273" s="14" t="n">
        <v>245.74</v>
      </c>
      <c r="I273" s="14" t="n">
        <v>17.71904524587306</v>
      </c>
      <c r="J273" s="14" t="n">
        <v>194.9094977046037</v>
      </c>
      <c r="K273" s="14" t="n">
        <v>20.5528</v>
      </c>
      <c r="L273" s="14" t="n">
        <v>226.0808</v>
      </c>
      <c r="M273" s="61" t="n">
        <v>31.17130229539632</v>
      </c>
      <c r="N273" s="63" t="inlineStr">
        <is>
          <t>NO MATCH</t>
        </is>
      </c>
      <c r="O273" s="13" t="inlineStr">
        <is>
          <t>Gates hyd. fitting (non-Komatsu)</t>
        </is>
      </c>
      <c r="P273" s="14" t="n"/>
      <c r="Q273" s="14" t="n"/>
      <c r="R273" s="62" t="n"/>
    </row>
    <row r="274">
      <c r="A274" s="13" t="n">
        <v>13</v>
      </c>
      <c r="B274" s="13" t="n">
        <v>7</v>
      </c>
      <c r="C274" s="13" t="inlineStr">
        <is>
          <t>REPLACE HOSES AS NECESSARY</t>
        </is>
      </c>
      <c r="D274" s="13" t="inlineStr">
        <is>
          <t>4M2T</t>
        </is>
      </c>
      <c r="E274" s="13" t="inlineStr">
        <is>
          <t>1/4 M2T MEGAFLE</t>
        </is>
      </c>
      <c r="F274" s="34" t="n">
        <v>27</v>
      </c>
      <c r="G274" s="14" t="n">
        <v>5.55</v>
      </c>
      <c r="H274" s="14" t="n">
        <v>149.85</v>
      </c>
      <c r="I274" s="14" t="n">
        <v>4.402000945147515</v>
      </c>
      <c r="J274" s="14" t="n">
        <v>118.8540255189829</v>
      </c>
      <c r="K274" s="14" t="n">
        <v>5.106</v>
      </c>
      <c r="L274" s="14" t="n">
        <v>137.862</v>
      </c>
      <c r="M274" s="61" t="n">
        <v>19.00797448101709</v>
      </c>
      <c r="N274" s="63" t="inlineStr">
        <is>
          <t>NO MATCH</t>
        </is>
      </c>
      <c r="O274" s="13" t="inlineStr">
        <is>
          <t>Gates hyd. fitting (non-Komatsu)</t>
        </is>
      </c>
      <c r="P274" s="14" t="n"/>
      <c r="Q274" s="14" t="n"/>
      <c r="R274" s="62" t="n"/>
    </row>
    <row r="275">
      <c r="A275" s="13" t="n">
        <v>13</v>
      </c>
      <c r="B275" s="13" t="n">
        <v>7</v>
      </c>
      <c r="C275" s="13" t="inlineStr">
        <is>
          <t>REPLACE HOSES AS NECESSARY</t>
        </is>
      </c>
      <c r="D275" s="13" t="inlineStr">
        <is>
          <t>4ORFF</t>
        </is>
      </c>
      <c r="E275" s="13" t="inlineStr">
        <is>
          <t>1/4 ORING FLA</t>
        </is>
      </c>
      <c r="F275" s="34" t="n">
        <v>44</v>
      </c>
      <c r="G275" s="14" t="n">
        <v>0.03</v>
      </c>
      <c r="H275" s="14" t="n">
        <v>1.32</v>
      </c>
      <c r="I275" s="14" t="n">
        <v>0.02379459970350008</v>
      </c>
      <c r="J275" s="14" t="n">
        <v>1.046962386954004</v>
      </c>
      <c r="K275" s="14" t="n">
        <v>0.0276</v>
      </c>
      <c r="L275" s="14" t="n">
        <v>1.2144</v>
      </c>
      <c r="M275" s="61" t="n">
        <v>0.1674376130459965</v>
      </c>
      <c r="N275" s="63" t="inlineStr">
        <is>
          <t>NO MATCH</t>
        </is>
      </c>
      <c r="O275" s="13" t="inlineStr">
        <is>
          <t>Gates hyd. fitting (non-Komatsu)</t>
        </is>
      </c>
      <c r="P275" s="14" t="n"/>
      <c r="Q275" s="14" t="n"/>
      <c r="R275" s="62" t="n"/>
    </row>
    <row r="276">
      <c r="A276" s="13" t="n">
        <v>13</v>
      </c>
      <c r="B276" s="13" t="n">
        <v>7</v>
      </c>
      <c r="C276" s="13" t="inlineStr">
        <is>
          <t>REPLACE HOSES AS NECESSARY</t>
        </is>
      </c>
      <c r="D276" s="13" t="inlineStr">
        <is>
          <t>6G-6FFORX90L</t>
        </is>
      </c>
      <c r="E276" s="13" t="inlineStr">
        <is>
          <t>G25241-0606 3/8</t>
        </is>
      </c>
      <c r="F276" s="34" t="n">
        <v>6</v>
      </c>
      <c r="G276" s="14" t="n">
        <v>33.85</v>
      </c>
      <c r="H276" s="14" t="n">
        <v>203.1</v>
      </c>
      <c r="I276" s="14" t="n">
        <v>26.8482399987826</v>
      </c>
      <c r="J276" s="14" t="n">
        <v>161.0894399926956</v>
      </c>
      <c r="K276" s="14" t="n">
        <v>31.142</v>
      </c>
      <c r="L276" s="14" t="n">
        <v>186.852</v>
      </c>
      <c r="M276" s="61" t="n">
        <v>25.76256000730444</v>
      </c>
      <c r="N276" s="63" t="inlineStr">
        <is>
          <t>NO MATCH</t>
        </is>
      </c>
      <c r="O276" s="13" t="inlineStr">
        <is>
          <t>Gates hyd. fitting (non-Komatsu)</t>
        </is>
      </c>
      <c r="P276" s="14" t="n"/>
      <c r="Q276" s="14" t="n"/>
      <c r="R276" s="62" t="n"/>
    </row>
    <row r="277">
      <c r="A277" s="13" t="n">
        <v>13</v>
      </c>
      <c r="B277" s="13" t="n">
        <v>7</v>
      </c>
      <c r="C277" s="13" t="inlineStr">
        <is>
          <t>REPLACE HOSES AS NECESSARY</t>
        </is>
      </c>
      <c r="D277" s="13" t="inlineStr">
        <is>
          <t>6G-6FKX</t>
        </is>
      </c>
      <c r="E277" s="13" t="inlineStr">
        <is>
          <t>G25910-0606 MEGA</t>
        </is>
      </c>
      <c r="F277" s="34" t="n">
        <v>5</v>
      </c>
      <c r="G277" s="14" t="n">
        <v>17.23</v>
      </c>
      <c r="H277" s="14" t="n">
        <v>86.15000000000001</v>
      </c>
      <c r="I277" s="14" t="n">
        <v>13.66603176304355</v>
      </c>
      <c r="J277" s="14" t="n">
        <v>68.33015881521774</v>
      </c>
      <c r="K277" s="14" t="n">
        <v>15.8516</v>
      </c>
      <c r="L277" s="14" t="n">
        <v>79.25800000000001</v>
      </c>
      <c r="M277" s="61" t="n">
        <v>10.92784118478227</v>
      </c>
      <c r="N277" s="63" t="inlineStr">
        <is>
          <t>NO MATCH</t>
        </is>
      </c>
      <c r="O277" s="13" t="inlineStr">
        <is>
          <t>Gates hyd. fitting (non-Komatsu)</t>
        </is>
      </c>
      <c r="P277" s="14" t="n"/>
      <c r="Q277" s="14" t="n"/>
      <c r="R277" s="62" t="n"/>
    </row>
    <row r="278">
      <c r="A278" s="13" t="n">
        <v>13</v>
      </c>
      <c r="B278" s="13" t="n">
        <v>7</v>
      </c>
      <c r="C278" s="13" t="inlineStr">
        <is>
          <t>REPLACE HOSES AS NECESSARY</t>
        </is>
      </c>
      <c r="D278" s="13" t="inlineStr">
        <is>
          <t>6GS-6FFORX</t>
        </is>
      </c>
      <c r="E278" s="13" t="inlineStr">
        <is>
          <t>G20230-0606 GS</t>
        </is>
      </c>
      <c r="F278" s="34" t="n">
        <v>49</v>
      </c>
      <c r="G278" s="14" t="n">
        <v>13.69</v>
      </c>
      <c r="H278" s="14" t="n">
        <v>670.8099999999999</v>
      </c>
      <c r="I278" s="14" t="n">
        <v>10.85826899803054</v>
      </c>
      <c r="J278" s="14" t="n">
        <v>532.0551809034963</v>
      </c>
      <c r="K278" s="14" t="n">
        <v>12.5948</v>
      </c>
      <c r="L278" s="14" t="n">
        <v>617.1451999999999</v>
      </c>
      <c r="M278" s="61" t="n">
        <v>85.09001909650362</v>
      </c>
      <c r="N278" s="63" t="inlineStr">
        <is>
          <t>NO MATCH</t>
        </is>
      </c>
      <c r="O278" s="13" t="inlineStr">
        <is>
          <t>Gates hyd. fitting (non-Komatsu)</t>
        </is>
      </c>
      <c r="P278" s="14" t="n"/>
      <c r="Q278" s="14" t="n"/>
      <c r="R278" s="62" t="n"/>
    </row>
    <row r="279">
      <c r="A279" s="13" t="n">
        <v>13</v>
      </c>
      <c r="B279" s="13" t="n">
        <v>7</v>
      </c>
      <c r="C279" s="13" t="inlineStr">
        <is>
          <t>REPLACE HOSES AS NECESSARY</t>
        </is>
      </c>
      <c r="D279" s="13" t="inlineStr">
        <is>
          <t>6GS-6FFORX45S</t>
        </is>
      </c>
      <c r="E279" s="13" t="inlineStr">
        <is>
          <t>G20234-0606 GS</t>
        </is>
      </c>
      <c r="F279" s="34" t="n">
        <v>3</v>
      </c>
      <c r="G279" s="14" t="n">
        <v>34.11</v>
      </c>
      <c r="H279" s="14" t="n">
        <v>102.33</v>
      </c>
      <c r="I279" s="14" t="n">
        <v>27.05445986287959</v>
      </c>
      <c r="J279" s="14" t="n">
        <v>81.16337958863878</v>
      </c>
      <c r="K279" s="14" t="n">
        <v>31.3812</v>
      </c>
      <c r="L279" s="14" t="n">
        <v>94.14360000000001</v>
      </c>
      <c r="M279" s="61" t="n">
        <v>12.98022041136123</v>
      </c>
      <c r="N279" s="63" t="inlineStr">
        <is>
          <t>NO MATCH</t>
        </is>
      </c>
      <c r="O279" s="13" t="inlineStr">
        <is>
          <t>Gates hyd. fitting (non-Komatsu)</t>
        </is>
      </c>
      <c r="P279" s="14" t="n"/>
      <c r="Q279" s="14" t="n"/>
      <c r="R279" s="62" t="n"/>
    </row>
    <row r="280">
      <c r="A280" s="13" t="n">
        <v>13</v>
      </c>
      <c r="B280" s="13" t="n">
        <v>7</v>
      </c>
      <c r="C280" s="13" t="inlineStr">
        <is>
          <t>REPLACE HOSES AS NECESSARY</t>
        </is>
      </c>
      <c r="D280" s="13" t="inlineStr">
        <is>
          <t>6GS-6FFORX90S</t>
        </is>
      </c>
      <c r="E280" s="13" t="inlineStr">
        <is>
          <t>G20239-0606 GS</t>
        </is>
      </c>
      <c r="F280" s="34" t="n">
        <v>20</v>
      </c>
      <c r="G280" s="14" t="n">
        <v>31.94</v>
      </c>
      <c r="H280" s="14" t="n">
        <v>638.8</v>
      </c>
      <c r="I280" s="14" t="n">
        <v>25.33331715099309</v>
      </c>
      <c r="J280" s="14" t="n">
        <v>506.6663430198618</v>
      </c>
      <c r="K280" s="14" t="n">
        <v>29.3848</v>
      </c>
      <c r="L280" s="14" t="n">
        <v>587.696</v>
      </c>
      <c r="M280" s="61" t="n">
        <v>81.02965698013827</v>
      </c>
      <c r="N280" s="63" t="inlineStr">
        <is>
          <t>NO MATCH</t>
        </is>
      </c>
      <c r="O280" s="13" t="inlineStr">
        <is>
          <t>Gates hyd. fitting (non-Komatsu)</t>
        </is>
      </c>
      <c r="P280" s="14" t="n"/>
      <c r="Q280" s="14" t="n"/>
      <c r="R280" s="62" t="n"/>
    </row>
    <row r="281">
      <c r="A281" s="13" t="n">
        <v>13</v>
      </c>
      <c r="B281" s="13" t="n">
        <v>7</v>
      </c>
      <c r="C281" s="13" t="inlineStr">
        <is>
          <t>REPLACE HOSES AS NECESSARY</t>
        </is>
      </c>
      <c r="D281" s="13" t="inlineStr">
        <is>
          <t>6GS-8FFORX</t>
        </is>
      </c>
      <c r="E281" s="13" t="inlineStr">
        <is>
          <t>G20230-0608 GS</t>
        </is>
      </c>
      <c r="F281" s="34" t="n">
        <v>1</v>
      </c>
      <c r="G281" s="14" t="n">
        <v>16.22</v>
      </c>
      <c r="H281" s="14" t="n">
        <v>16.22</v>
      </c>
      <c r="I281" s="14" t="n">
        <v>12.86494690635904</v>
      </c>
      <c r="J281" s="14" t="n">
        <v>12.86494690635904</v>
      </c>
      <c r="K281" s="14" t="n">
        <v>14.9224</v>
      </c>
      <c r="L281" s="14" t="n">
        <v>14.9224</v>
      </c>
      <c r="M281" s="61" t="n">
        <v>2.057453093640955</v>
      </c>
      <c r="N281" s="63" t="inlineStr">
        <is>
          <t>NO MATCH</t>
        </is>
      </c>
      <c r="O281" s="13" t="inlineStr">
        <is>
          <t>Gates hyd. fitting (non-Komatsu)</t>
        </is>
      </c>
      <c r="P281" s="14" t="n"/>
      <c r="Q281" s="14" t="n"/>
      <c r="R281" s="62" t="n"/>
    </row>
    <row r="282">
      <c r="A282" s="13" t="n">
        <v>14</v>
      </c>
      <c r="B282" s="13" t="n">
        <v>7</v>
      </c>
      <c r="C282" s="13" t="inlineStr">
        <is>
          <t>REPLACE HOSES AS NECESSARY</t>
        </is>
      </c>
      <c r="D282" s="13" t="inlineStr">
        <is>
          <t>6GS-8FFORX45S</t>
        </is>
      </c>
      <c r="E282" s="13" t="inlineStr">
        <is>
          <t>G20234-0608 GS</t>
        </is>
      </c>
      <c r="F282" s="34" t="n">
        <v>1</v>
      </c>
      <c r="G282" s="14" t="n">
        <v>38.8</v>
      </c>
      <c r="H282" s="14" t="n">
        <v>38.8</v>
      </c>
      <c r="I282" s="14" t="n">
        <v>30.77434894986011</v>
      </c>
      <c r="J282" s="14" t="n">
        <v>30.77434894986011</v>
      </c>
      <c r="K282" s="14" t="n">
        <v>35.696</v>
      </c>
      <c r="L282" s="14" t="n">
        <v>35.696</v>
      </c>
      <c r="M282" s="61" t="n">
        <v>4.921651050139893</v>
      </c>
      <c r="N282" s="63" t="inlineStr">
        <is>
          <t>NO MATCH</t>
        </is>
      </c>
      <c r="O282" s="13" t="inlineStr">
        <is>
          <t>Gates hyd. fitting (non-Komatsu)</t>
        </is>
      </c>
      <c r="P282" s="14" t="n"/>
      <c r="Q282" s="14" t="n"/>
      <c r="R282" s="62" t="n"/>
    </row>
    <row r="283">
      <c r="A283" s="13" t="n">
        <v>14</v>
      </c>
      <c r="B283" s="13" t="n">
        <v>7</v>
      </c>
      <c r="C283" s="13" t="inlineStr">
        <is>
          <t>REPLACE HOSES AS NECESSARY</t>
        </is>
      </c>
      <c r="D283" s="13" t="inlineStr">
        <is>
          <t>6GS1F-2</t>
        </is>
      </c>
      <c r="E283" s="13" t="inlineStr">
        <is>
          <t>G20995-0206</t>
        </is>
      </c>
      <c r="F283" s="34" t="n">
        <v>79</v>
      </c>
      <c r="G283" s="14" t="n">
        <v>11.03</v>
      </c>
      <c r="H283" s="14" t="n">
        <v>871.37</v>
      </c>
      <c r="I283" s="14" t="n">
        <v>8.748481157653529</v>
      </c>
      <c r="J283" s="14" t="n">
        <v>691.130011454629</v>
      </c>
      <c r="K283" s="14" t="n">
        <v>10.1476</v>
      </c>
      <c r="L283" s="14" t="n">
        <v>801.6604000000001</v>
      </c>
      <c r="M283" s="61" t="n">
        <v>110.5303885453711</v>
      </c>
      <c r="N283" s="63" t="inlineStr">
        <is>
          <t>NO MATCH</t>
        </is>
      </c>
      <c r="O283" s="13" t="inlineStr">
        <is>
          <t>Gates hyd. fitting (non-Komatsu)</t>
        </is>
      </c>
      <c r="P283" s="14" t="n"/>
      <c r="Q283" s="14" t="n"/>
      <c r="R283" s="62" t="n"/>
    </row>
    <row r="284">
      <c r="A284" s="13" t="n">
        <v>14</v>
      </c>
      <c r="B284" s="13" t="n">
        <v>7</v>
      </c>
      <c r="C284" s="13" t="inlineStr">
        <is>
          <t>REPLACE HOSES AS NECESSARY</t>
        </is>
      </c>
      <c r="D284" s="13" t="inlineStr">
        <is>
          <t>6M2T</t>
        </is>
      </c>
      <c r="E284" s="13" t="inlineStr">
        <is>
          <t>3/8 M2T MEGAFLE</t>
        </is>
      </c>
      <c r="F284" s="34" t="n">
        <v>107</v>
      </c>
      <c r="G284" s="14" t="n">
        <v>6.51</v>
      </c>
      <c r="H284" s="14" t="n">
        <v>696.5700000000001</v>
      </c>
      <c r="I284" s="14" t="n">
        <v>5.163428135659518</v>
      </c>
      <c r="J284" s="14" t="n">
        <v>552.4868105155684</v>
      </c>
      <c r="K284" s="14" t="n">
        <v>5.9892</v>
      </c>
      <c r="L284" s="14" t="n">
        <v>640.8444000000001</v>
      </c>
      <c r="M284" s="61" t="n">
        <v>88.35758948443163</v>
      </c>
      <c r="N284" s="63" t="inlineStr">
        <is>
          <t>NO MATCH</t>
        </is>
      </c>
      <c r="O284" s="13" t="inlineStr">
        <is>
          <t>Gates hyd. fitting (non-Komatsu)</t>
        </is>
      </c>
      <c r="P284" s="14" t="n"/>
      <c r="Q284" s="14" t="n"/>
      <c r="R284" s="62" t="n"/>
    </row>
    <row r="285">
      <c r="A285" s="13" t="n">
        <v>14</v>
      </c>
      <c r="B285" s="13" t="n">
        <v>7</v>
      </c>
      <c r="C285" s="13" t="inlineStr">
        <is>
          <t>REPLACE HOSES AS NECESSARY</t>
        </is>
      </c>
      <c r="D285" s="13" t="inlineStr">
        <is>
          <t>6M3K</t>
        </is>
      </c>
      <c r="E285" s="13" t="inlineStr">
        <is>
          <t>3/8 M3K MEGA3</t>
        </is>
      </c>
      <c r="F285" s="34" t="n">
        <v>21</v>
      </c>
      <c r="G285" s="14" t="n">
        <v>5.04</v>
      </c>
      <c r="H285" s="14" t="n">
        <v>105.84</v>
      </c>
      <c r="I285" s="14" t="n">
        <v>3.997492750188014</v>
      </c>
      <c r="J285" s="14" t="n">
        <v>83.94734775394829</v>
      </c>
      <c r="K285" s="14" t="n">
        <v>4.6368</v>
      </c>
      <c r="L285" s="14" t="n">
        <v>97.37280000000001</v>
      </c>
      <c r="M285" s="61" t="n">
        <v>13.42545224605172</v>
      </c>
      <c r="N285" s="63" t="inlineStr">
        <is>
          <t>NO MATCH</t>
        </is>
      </c>
      <c r="O285" s="13" t="inlineStr">
        <is>
          <t>Gates hyd. fitting (non-Komatsu)</t>
        </is>
      </c>
      <c r="P285" s="14" t="n"/>
      <c r="Q285" s="14" t="n"/>
      <c r="R285" s="62" t="n"/>
    </row>
    <row r="286">
      <c r="A286" s="13" t="n">
        <v>14</v>
      </c>
      <c r="B286" s="13" t="n">
        <v>7</v>
      </c>
      <c r="C286" s="13" t="inlineStr">
        <is>
          <t>REPLACE HOSES AS NECESSARY</t>
        </is>
      </c>
      <c r="D286" s="13" t="inlineStr">
        <is>
          <t>6ORFF</t>
        </is>
      </c>
      <c r="E286" s="13" t="inlineStr">
        <is>
          <t>3/8 ORING FLA</t>
        </is>
      </c>
      <c r="F286" s="34" t="n">
        <v>66</v>
      </c>
      <c r="G286" s="14" t="n">
        <v>0.03</v>
      </c>
      <c r="H286" s="14" t="n">
        <v>1.98</v>
      </c>
      <c r="I286" s="14" t="n">
        <v>0.02379459970350008</v>
      </c>
      <c r="J286" s="14" t="n">
        <v>1.570443580431006</v>
      </c>
      <c r="K286" s="14" t="n">
        <v>0.0276</v>
      </c>
      <c r="L286" s="14" t="n">
        <v>1.8216</v>
      </c>
      <c r="M286" s="61" t="n">
        <v>0.2511564195689946</v>
      </c>
      <c r="N286" s="63" t="inlineStr">
        <is>
          <t>NO MATCH</t>
        </is>
      </c>
      <c r="O286" s="13" t="inlineStr">
        <is>
          <t>Gates hyd. fitting (non-Komatsu)</t>
        </is>
      </c>
      <c r="P286" s="14" t="n"/>
      <c r="Q286" s="14" t="n"/>
      <c r="R286" s="62" t="n"/>
    </row>
    <row r="287">
      <c r="A287" s="13" t="n">
        <v>14</v>
      </c>
      <c r="B287" s="13" t="n">
        <v>7</v>
      </c>
      <c r="C287" s="13" t="inlineStr">
        <is>
          <t>REPLACE HOSES AS NECESSARY</t>
        </is>
      </c>
      <c r="D287" s="13" t="inlineStr">
        <is>
          <t>8G-8FFORX90L</t>
        </is>
      </c>
      <c r="E287" s="13" t="inlineStr">
        <is>
          <t>G25241-0808 1/2</t>
        </is>
      </c>
      <c r="F287" s="34" t="n">
        <v>6</v>
      </c>
      <c r="G287" s="14" t="n">
        <v>37.2</v>
      </c>
      <c r="H287" s="14" t="n">
        <v>223.2</v>
      </c>
      <c r="I287" s="14" t="n">
        <v>29.50530363234011</v>
      </c>
      <c r="J287" s="14" t="n">
        <v>177.0318217940406</v>
      </c>
      <c r="K287" s="14" t="n">
        <v>34.224</v>
      </c>
      <c r="L287" s="14" t="n">
        <v>205.344</v>
      </c>
      <c r="M287" s="61" t="n">
        <v>28.31217820595938</v>
      </c>
      <c r="N287" s="63" t="inlineStr">
        <is>
          <t>NO MATCH</t>
        </is>
      </c>
      <c r="O287" s="13" t="inlineStr">
        <is>
          <t>Gates hyd. fitting (non-Komatsu)</t>
        </is>
      </c>
      <c r="P287" s="14" t="n"/>
      <c r="Q287" s="14" t="n"/>
      <c r="R287" s="62" t="n"/>
    </row>
    <row r="288">
      <c r="A288" s="13" t="n">
        <v>14</v>
      </c>
      <c r="B288" s="13" t="n">
        <v>7</v>
      </c>
      <c r="C288" s="13" t="inlineStr">
        <is>
          <t>REPLACE HOSES AS NECESSARY</t>
        </is>
      </c>
      <c r="D288" s="13" t="inlineStr">
        <is>
          <t>8GS-8FFORX</t>
        </is>
      </c>
      <c r="E288" s="13" t="inlineStr">
        <is>
          <t>G20230-0808 GS</t>
        </is>
      </c>
      <c r="F288" s="34" t="n">
        <v>43</v>
      </c>
      <c r="G288" s="14" t="n">
        <v>17.05</v>
      </c>
      <c r="H288" s="14" t="n">
        <v>733.15</v>
      </c>
      <c r="I288" s="14" t="n">
        <v>13.52326416482255</v>
      </c>
      <c r="J288" s="14" t="n">
        <v>581.5003590873695</v>
      </c>
      <c r="K288" s="14" t="n">
        <v>15.686</v>
      </c>
      <c r="L288" s="14" t="n">
        <v>674.498</v>
      </c>
      <c r="M288" s="61" t="n">
        <v>92.99764091263057</v>
      </c>
      <c r="N288" s="63" t="inlineStr">
        <is>
          <t>NO MATCH</t>
        </is>
      </c>
      <c r="O288" s="13" t="inlineStr">
        <is>
          <t>Gates hyd. fitting (non-Komatsu)</t>
        </is>
      </c>
      <c r="P288" s="14" t="n"/>
      <c r="Q288" s="14" t="n"/>
      <c r="R288" s="62" t="n"/>
    </row>
    <row r="289">
      <c r="A289" s="13" t="n">
        <v>14</v>
      </c>
      <c r="B289" s="13" t="n">
        <v>7</v>
      </c>
      <c r="C289" s="13" t="inlineStr">
        <is>
          <t>REPLACE HOSES AS NECESSARY</t>
        </is>
      </c>
      <c r="D289" s="13" t="inlineStr">
        <is>
          <t>8GS-8FFORX45S</t>
        </is>
      </c>
      <c r="E289" s="13" t="inlineStr">
        <is>
          <t>G20234-0808 1/2</t>
        </is>
      </c>
      <c r="F289" s="34" t="n">
        <v>2</v>
      </c>
      <c r="G289" s="14" t="n">
        <v>40.64</v>
      </c>
      <c r="H289" s="14" t="n">
        <v>81.28</v>
      </c>
      <c r="I289" s="14" t="n">
        <v>32.23375106500811</v>
      </c>
      <c r="J289" s="14" t="n">
        <v>64.46750213001623</v>
      </c>
      <c r="K289" s="14" t="n">
        <v>37.3888</v>
      </c>
      <c r="L289" s="14" t="n">
        <v>74.77760000000001</v>
      </c>
      <c r="M289" s="61" t="n">
        <v>10.31009786998378</v>
      </c>
      <c r="N289" s="63" t="inlineStr">
        <is>
          <t>NO MATCH</t>
        </is>
      </c>
      <c r="O289" s="13" t="inlineStr">
        <is>
          <t>Gates hyd. fitting (non-Komatsu)</t>
        </is>
      </c>
      <c r="P289" s="14" t="n"/>
      <c r="Q289" s="14" t="n"/>
      <c r="R289" s="62" t="n"/>
    </row>
    <row r="290">
      <c r="A290" s="13" t="n">
        <v>14</v>
      </c>
      <c r="B290" s="13" t="n">
        <v>7</v>
      </c>
      <c r="C290" s="13" t="inlineStr">
        <is>
          <t>REPLACE HOSES AS NECESSARY</t>
        </is>
      </c>
      <c r="D290" s="13" t="inlineStr">
        <is>
          <t>8GS-8FFORX90M</t>
        </is>
      </c>
      <c r="E290" s="13" t="inlineStr">
        <is>
          <t>G20240-0808 GS</t>
        </is>
      </c>
      <c r="F290" s="34" t="n">
        <v>8</v>
      </c>
      <c r="G290" s="14" t="n">
        <v>46.08</v>
      </c>
      <c r="H290" s="14" t="n">
        <v>368.64</v>
      </c>
      <c r="I290" s="14" t="n">
        <v>36.54850514457613</v>
      </c>
      <c r="J290" s="14" t="n">
        <v>292.388041156609</v>
      </c>
      <c r="K290" s="14" t="n">
        <v>42.3936</v>
      </c>
      <c r="L290" s="14" t="n">
        <v>339.1488</v>
      </c>
      <c r="M290" s="61" t="n">
        <v>46.76075884339099</v>
      </c>
      <c r="N290" s="63" t="inlineStr">
        <is>
          <t>NO MATCH</t>
        </is>
      </c>
      <c r="O290" s="13" t="inlineStr">
        <is>
          <t>Gates hyd. fitting (non-Komatsu)</t>
        </is>
      </c>
      <c r="P290" s="14" t="n"/>
      <c r="Q290" s="14" t="n"/>
      <c r="R290" s="62" t="n"/>
    </row>
    <row r="291">
      <c r="A291" s="13" t="n">
        <v>14</v>
      </c>
      <c r="B291" s="13" t="n">
        <v>7</v>
      </c>
      <c r="C291" s="13" t="inlineStr">
        <is>
          <t>REPLACE HOSES AS NECESSARY</t>
        </is>
      </c>
      <c r="D291" s="13" t="inlineStr">
        <is>
          <t>8GS1F-2</t>
        </is>
      </c>
      <c r="E291" s="13" t="inlineStr">
        <is>
          <t>G20995-0208 1/2</t>
        </is>
      </c>
      <c r="F291" s="34" t="n">
        <v>54</v>
      </c>
      <c r="G291" s="14" t="n">
        <v>8.56</v>
      </c>
      <c r="H291" s="14" t="n">
        <v>462.24</v>
      </c>
      <c r="I291" s="14" t="n">
        <v>6.789392448732024</v>
      </c>
      <c r="J291" s="14" t="n">
        <v>366.6271922315293</v>
      </c>
      <c r="K291" s="14" t="n">
        <v>7.8752</v>
      </c>
      <c r="L291" s="14" t="n">
        <v>425.2608</v>
      </c>
      <c r="M291" s="61" t="n">
        <v>58.63360776847071</v>
      </c>
      <c r="N291" s="63" t="inlineStr">
        <is>
          <t>NO MATCH</t>
        </is>
      </c>
      <c r="O291" s="13" t="inlineStr">
        <is>
          <t>Gates hyd. fitting (non-Komatsu)</t>
        </is>
      </c>
      <c r="P291" s="14" t="n"/>
      <c r="Q291" s="14" t="n"/>
      <c r="R291" s="62" t="n"/>
    </row>
    <row r="292">
      <c r="A292" s="13" t="n">
        <v>14</v>
      </c>
      <c r="B292" s="13" t="n">
        <v>7</v>
      </c>
      <c r="C292" s="13" t="inlineStr">
        <is>
          <t>REPLACE HOSES AS NECESSARY</t>
        </is>
      </c>
      <c r="D292" s="13" t="inlineStr">
        <is>
          <t>8M2T</t>
        </is>
      </c>
      <c r="E292" s="13" t="inlineStr">
        <is>
          <t>1/2 M2T MEGAFLE</t>
        </is>
      </c>
      <c r="F292" s="34" t="n">
        <v>68</v>
      </c>
      <c r="G292" s="14" t="n">
        <v>9.02</v>
      </c>
      <c r="H292" s="14" t="n">
        <v>613.36</v>
      </c>
      <c r="I292" s="14" t="n">
        <v>7.154242977519025</v>
      </c>
      <c r="J292" s="14" t="n">
        <v>486.4885224712937</v>
      </c>
      <c r="K292" s="14" t="n">
        <v>8.298399999999999</v>
      </c>
      <c r="L292" s="14" t="n">
        <v>564.2912</v>
      </c>
      <c r="M292" s="61" t="n">
        <v>77.80267752870628</v>
      </c>
      <c r="N292" s="63" t="inlineStr">
        <is>
          <t>NO MATCH</t>
        </is>
      </c>
      <c r="O292" s="13" t="inlineStr">
        <is>
          <t>Gates hyd. fitting (non-Komatsu)</t>
        </is>
      </c>
      <c r="P292" s="14" t="n"/>
      <c r="Q292" s="14" t="n"/>
      <c r="R292" s="62" t="n"/>
    </row>
    <row r="293">
      <c r="A293" s="13" t="n">
        <v>14</v>
      </c>
      <c r="B293" s="13" t="n">
        <v>7</v>
      </c>
      <c r="C293" s="13" t="inlineStr">
        <is>
          <t>REPLACE HOSES AS NECESSARY</t>
        </is>
      </c>
      <c r="D293" s="13" t="inlineStr">
        <is>
          <t>8M3K</t>
        </is>
      </c>
      <c r="E293" s="13" t="inlineStr">
        <is>
          <t>1/2 M3K MEGA3</t>
        </is>
      </c>
      <c r="F293" s="34" t="n">
        <v>3</v>
      </c>
      <c r="G293" s="14" t="n">
        <v>5.79</v>
      </c>
      <c r="H293" s="14" t="n">
        <v>17.37</v>
      </c>
      <c r="I293" s="14" t="n">
        <v>4.592357742775516</v>
      </c>
      <c r="J293" s="14" t="n">
        <v>13.77707322832655</v>
      </c>
      <c r="K293" s="14" t="n">
        <v>5.3268</v>
      </c>
      <c r="L293" s="14" t="n">
        <v>15.9804</v>
      </c>
      <c r="M293" s="61" t="n">
        <v>2.203326771673453</v>
      </c>
      <c r="N293" s="63" t="inlineStr">
        <is>
          <t>NO MATCH</t>
        </is>
      </c>
      <c r="O293" s="13" t="inlineStr">
        <is>
          <t>Gates hyd. fitting (non-Komatsu)</t>
        </is>
      </c>
      <c r="P293" s="14" t="n"/>
      <c r="Q293" s="14" t="n"/>
      <c r="R293" s="62" t="n"/>
    </row>
    <row r="294">
      <c r="A294" s="13" t="n">
        <v>14</v>
      </c>
      <c r="B294" s="13" t="n">
        <v>7</v>
      </c>
      <c r="C294" s="13" t="inlineStr">
        <is>
          <t>REPLACE HOSES AS NECESSARY</t>
        </is>
      </c>
      <c r="D294" s="13" t="inlineStr">
        <is>
          <t>8ORFF</t>
        </is>
      </c>
      <c r="E294" s="13" t="inlineStr">
        <is>
          <t>1/2 ORING FLA</t>
        </is>
      </c>
      <c r="F294" s="34" t="n">
        <v>59</v>
      </c>
      <c r="G294" s="14" t="n">
        <v>0.05</v>
      </c>
      <c r="H294" s="14" t="n">
        <v>2.95</v>
      </c>
      <c r="I294" s="14" t="n">
        <v>0.03965766617250014</v>
      </c>
      <c r="J294" s="14" t="n">
        <v>2.339802304177508</v>
      </c>
      <c r="K294" s="14" t="n">
        <v>0.04600000000000001</v>
      </c>
      <c r="L294" s="14" t="n">
        <v>2.714</v>
      </c>
      <c r="M294" s="61" t="n">
        <v>0.3741976958224922</v>
      </c>
      <c r="N294" s="63" t="inlineStr">
        <is>
          <t>NO MATCH</t>
        </is>
      </c>
      <c r="O294" s="13" t="inlineStr">
        <is>
          <t>Gates hyd. fitting (non-Komatsu)</t>
        </is>
      </c>
      <c r="P294" s="14" t="n"/>
      <c r="Q294" s="14" t="n"/>
      <c r="R294" s="62" t="n"/>
    </row>
    <row r="295">
      <c r="A295" s="13" t="n">
        <v>14</v>
      </c>
      <c r="B295" s="13" t="n">
        <v>7</v>
      </c>
      <c r="C295" s="13" t="inlineStr">
        <is>
          <t>REPLACE HOSES AS NECESSARY</t>
        </is>
      </c>
      <c r="D295" s="13" t="inlineStr">
        <is>
          <t>8SG-8FFORX</t>
        </is>
      </c>
      <c r="E295" s="13" t="inlineStr">
        <is>
          <t>FITTING</t>
        </is>
      </c>
      <c r="F295" s="34" t="n">
        <v>20</v>
      </c>
      <c r="G295" s="14" t="n">
        <v>14.62</v>
      </c>
      <c r="H295" s="14" t="n">
        <v>292.4</v>
      </c>
      <c r="I295" s="14" t="n">
        <v>11.59590158883904</v>
      </c>
      <c r="J295" s="14" t="n">
        <v>231.9180317767808</v>
      </c>
      <c r="K295" s="14" t="n">
        <v>13.4504</v>
      </c>
      <c r="L295" s="14" t="n">
        <v>269.008</v>
      </c>
      <c r="M295" s="61" t="n">
        <v>37.08996822321919</v>
      </c>
      <c r="N295" s="63" t="inlineStr">
        <is>
          <t>NO MATCH</t>
        </is>
      </c>
      <c r="O295" s="13" t="inlineStr">
        <is>
          <t>Gates hyd. fitting (non-Komatsu)</t>
        </is>
      </c>
      <c r="P295" s="14" t="n"/>
      <c r="Q295" s="14" t="n"/>
      <c r="R295" s="62" t="n"/>
    </row>
    <row r="296">
      <c r="A296" s="64" t="n">
        <v>15</v>
      </c>
      <c r="B296" s="64" t="n">
        <v>8</v>
      </c>
      <c r="C296" s="64" t="inlineStr">
        <is>
          <t>REBUILD DRIVE LINE</t>
        </is>
      </c>
      <c r="D296" s="64" t="inlineStr">
        <is>
          <t>01010-62495</t>
        </is>
      </c>
      <c r="E296" s="64" t="inlineStr">
        <is>
          <t>BOLT</t>
        </is>
      </c>
      <c r="F296" s="65" t="n">
        <v>6</v>
      </c>
      <c r="G296" s="66" t="n">
        <v>26.93</v>
      </c>
      <c r="H296" s="66" t="n">
        <v>161.58</v>
      </c>
      <c r="I296" s="66" t="n">
        <v>21.35961900050857</v>
      </c>
      <c r="J296" s="66" t="n">
        <v>128.1577140030515</v>
      </c>
      <c r="K296" s="66" t="n">
        <v>24.7756</v>
      </c>
      <c r="L296" s="66" t="n">
        <v>148.6536</v>
      </c>
      <c r="M296" s="67" t="n">
        <v>20.49588599694854</v>
      </c>
      <c r="N296" s="68" t="inlineStr">
        <is>
          <t>MATCH</t>
        </is>
      </c>
      <c r="O296" s="64" t="inlineStr"/>
      <c r="P296" s="66" t="n">
        <v>33.00358695652174</v>
      </c>
      <c r="Q296" s="66" t="n">
        <v>30.3633</v>
      </c>
      <c r="R296" s="69" t="n">
        <v>0.8159719134613168</v>
      </c>
    </row>
    <row r="297">
      <c r="A297" s="64" t="n">
        <v>15</v>
      </c>
      <c r="B297" s="64" t="n">
        <v>8</v>
      </c>
      <c r="C297" s="64" t="inlineStr">
        <is>
          <t>REBUILD DRIVE LINE</t>
        </is>
      </c>
      <c r="D297" s="64" t="inlineStr">
        <is>
          <t>01010-E1240</t>
        </is>
      </c>
      <c r="E297" s="64" t="inlineStr">
        <is>
          <t>BOLT</t>
        </is>
      </c>
      <c r="F297" s="65" t="n">
        <v>6</v>
      </c>
      <c r="G297" s="66" t="n">
        <v>3.82</v>
      </c>
      <c r="H297" s="66" t="n">
        <v>22.92</v>
      </c>
      <c r="I297" s="66" t="n">
        <v>3.02984569557901</v>
      </c>
      <c r="J297" s="66" t="n">
        <v>18.17907417347406</v>
      </c>
      <c r="K297" s="66" t="n">
        <v>3.5144</v>
      </c>
      <c r="L297" s="66" t="n">
        <v>21.0864</v>
      </c>
      <c r="M297" s="67" t="n">
        <v>2.907325826525938</v>
      </c>
      <c r="N297" s="68" t="inlineStr">
        <is>
          <t>MATCH</t>
        </is>
      </c>
      <c r="O297" s="64" t="inlineStr"/>
      <c r="P297" s="66" t="n">
        <v>4.670217391304347</v>
      </c>
      <c r="Q297" s="66" t="n">
        <v>4.2966</v>
      </c>
      <c r="R297" s="69" t="n">
        <v>0.8179490760135922</v>
      </c>
    </row>
    <row r="298">
      <c r="A298" s="64" t="n">
        <v>15</v>
      </c>
      <c r="B298" s="64" t="n">
        <v>8</v>
      </c>
      <c r="C298" s="64" t="inlineStr">
        <is>
          <t>REBUILD DRIVE LINE</t>
        </is>
      </c>
      <c r="D298" s="64" t="inlineStr">
        <is>
          <t>01050-61475</t>
        </is>
      </c>
      <c r="E298" s="64" t="inlineStr">
        <is>
          <t>BOLT</t>
        </is>
      </c>
      <c r="F298" s="65" t="n">
        <v>4</v>
      </c>
      <c r="G298" s="66" t="n">
        <v>10.43</v>
      </c>
      <c r="H298" s="66" t="n">
        <v>41.72</v>
      </c>
      <c r="I298" s="66" t="n">
        <v>8.272589163583529</v>
      </c>
      <c r="J298" s="66" t="n">
        <v>33.09035665433412</v>
      </c>
      <c r="K298" s="66" t="n">
        <v>9.595600000000001</v>
      </c>
      <c r="L298" s="66" t="n">
        <v>38.3824</v>
      </c>
      <c r="M298" s="67" t="n">
        <v>5.292043345665888</v>
      </c>
      <c r="N298" s="68" t="inlineStr">
        <is>
          <t>MATCH</t>
        </is>
      </c>
      <c r="O298" s="64" t="inlineStr"/>
      <c r="P298" s="66" t="n">
        <v>12.78391304347826</v>
      </c>
      <c r="Q298" s="66" t="n">
        <v>11.7612</v>
      </c>
      <c r="R298" s="69" t="n">
        <v>0.8158691290004421</v>
      </c>
    </row>
    <row r="299">
      <c r="A299" s="64" t="n">
        <v>15</v>
      </c>
      <c r="B299" s="64" t="n">
        <v>8</v>
      </c>
      <c r="C299" s="64" t="inlineStr">
        <is>
          <t>REBUILD DRIVE LINE</t>
        </is>
      </c>
      <c r="D299" s="64" t="inlineStr">
        <is>
          <t>01050-61895</t>
        </is>
      </c>
      <c r="E299" s="64" t="inlineStr">
        <is>
          <t>BOLT</t>
        </is>
      </c>
      <c r="F299" s="65" t="n">
        <v>24</v>
      </c>
      <c r="G299" s="66" t="n">
        <v>21.4</v>
      </c>
      <c r="H299" s="66" t="n">
        <v>513.6</v>
      </c>
      <c r="I299" s="66" t="n">
        <v>16.97348112183006</v>
      </c>
      <c r="J299" s="66" t="n">
        <v>407.3635469239214</v>
      </c>
      <c r="K299" s="66" t="n">
        <v>19.688</v>
      </c>
      <c r="L299" s="66" t="n">
        <v>472.5120000000001</v>
      </c>
      <c r="M299" s="67" t="n">
        <v>65.14845307607862</v>
      </c>
      <c r="N299" s="68" t="inlineStr">
        <is>
          <t>MATCH</t>
        </is>
      </c>
      <c r="O299" s="64" t="inlineStr"/>
      <c r="P299" s="66" t="n">
        <v>26.22423913043478</v>
      </c>
      <c r="Q299" s="66" t="n">
        <v>24.1263</v>
      </c>
      <c r="R299" s="69" t="n">
        <v>0.8160389284722481</v>
      </c>
    </row>
    <row r="300">
      <c r="A300" s="64" t="n">
        <v>15</v>
      </c>
      <c r="B300" s="64" t="n">
        <v>8</v>
      </c>
      <c r="C300" s="64" t="inlineStr">
        <is>
          <t>REBUILD DRIVE LINE</t>
        </is>
      </c>
      <c r="D300" s="64" t="inlineStr">
        <is>
          <t>01580-12419</t>
        </is>
      </c>
      <c r="E300" s="64" t="inlineStr">
        <is>
          <t>NUT P60</t>
        </is>
      </c>
      <c r="F300" s="65" t="n">
        <v>6</v>
      </c>
      <c r="G300" s="66" t="n">
        <v>8.01</v>
      </c>
      <c r="H300" s="66" t="n">
        <v>48.06</v>
      </c>
      <c r="I300" s="66" t="n">
        <v>6.353158120834522</v>
      </c>
      <c r="J300" s="66" t="n">
        <v>38.11894872500714</v>
      </c>
      <c r="K300" s="66" t="n">
        <v>7.3692</v>
      </c>
      <c r="L300" s="66" t="n">
        <v>44.2152</v>
      </c>
      <c r="M300" s="67" t="n">
        <v>6.096251274992866</v>
      </c>
      <c r="N300" s="68" t="inlineStr">
        <is>
          <t>MATCH</t>
        </is>
      </c>
      <c r="O300" s="64" t="inlineStr"/>
      <c r="P300" s="66" t="n">
        <v>9.824673913043478</v>
      </c>
      <c r="Q300" s="66" t="n">
        <v>9.0387</v>
      </c>
      <c r="R300" s="69" t="n">
        <v>0.8152942347904013</v>
      </c>
    </row>
    <row r="301">
      <c r="A301" s="64" t="n">
        <v>15</v>
      </c>
      <c r="B301" s="64" t="n">
        <v>8</v>
      </c>
      <c r="C301" s="64" t="inlineStr">
        <is>
          <t>REBUILD DRIVE LINE</t>
        </is>
      </c>
      <c r="D301" s="64" t="inlineStr">
        <is>
          <t>01643-31232</t>
        </is>
      </c>
      <c r="E301" s="64" t="inlineStr">
        <is>
          <t>WASHER P60</t>
        </is>
      </c>
      <c r="F301" s="65" t="n">
        <v>6</v>
      </c>
      <c r="G301" s="66" t="n">
        <v>0.83</v>
      </c>
      <c r="H301" s="66" t="n">
        <v>4.98</v>
      </c>
      <c r="I301" s="66" t="n">
        <v>0.6583172584635023</v>
      </c>
      <c r="J301" s="66" t="n">
        <v>3.949903550781014</v>
      </c>
      <c r="K301" s="66" t="n">
        <v>0.7635999999999999</v>
      </c>
      <c r="L301" s="66" t="n">
        <v>4.581600000000001</v>
      </c>
      <c r="M301" s="67" t="n">
        <v>0.6316964492189867</v>
      </c>
      <c r="N301" s="68" t="inlineStr">
        <is>
          <t>MATCH</t>
        </is>
      </c>
      <c r="O301" s="64" t="inlineStr"/>
      <c r="P301" s="66" t="n">
        <v>1.022282608695652</v>
      </c>
      <c r="Q301" s="66" t="n">
        <v>0.9405</v>
      </c>
      <c r="R301" s="69" t="n">
        <v>0.8119085592769802</v>
      </c>
    </row>
    <row r="302">
      <c r="A302" s="64" t="n">
        <v>15</v>
      </c>
      <c r="B302" s="64" t="n">
        <v>8</v>
      </c>
      <c r="C302" s="64" t="inlineStr">
        <is>
          <t>REBUILD DRIVE LINE</t>
        </is>
      </c>
      <c r="D302" s="64" t="inlineStr">
        <is>
          <t>01643-32460</t>
        </is>
      </c>
      <c r="E302" s="64" t="inlineStr">
        <is>
          <t>WASHER P6</t>
        </is>
      </c>
      <c r="F302" s="65" t="n">
        <v>12</v>
      </c>
      <c r="G302" s="66" t="n">
        <v>3.53</v>
      </c>
      <c r="H302" s="66" t="n">
        <v>42.36</v>
      </c>
      <c r="I302" s="66" t="n">
        <v>2.799831231778509</v>
      </c>
      <c r="J302" s="66" t="n">
        <v>33.59797478134212</v>
      </c>
      <c r="K302" s="66" t="n">
        <v>3.2476</v>
      </c>
      <c r="L302" s="66" t="n">
        <v>38.9712</v>
      </c>
      <c r="M302" s="67" t="n">
        <v>5.373225218657886</v>
      </c>
      <c r="N302" s="68" t="inlineStr">
        <is>
          <t>MATCH</t>
        </is>
      </c>
      <c r="O302" s="64" t="inlineStr"/>
      <c r="P302" s="66" t="n">
        <v>4.562608695652174</v>
      </c>
      <c r="Q302" s="66" t="n">
        <v>4.1976</v>
      </c>
      <c r="R302" s="69" t="n">
        <v>0.7736801982085</v>
      </c>
    </row>
    <row r="303">
      <c r="A303" s="64" t="n">
        <v>15</v>
      </c>
      <c r="B303" s="64" t="n">
        <v>8</v>
      </c>
      <c r="C303" s="64" t="inlineStr">
        <is>
          <t>REBUILD DRIVE LINE</t>
        </is>
      </c>
      <c r="D303" s="64" t="inlineStr">
        <is>
          <t>07000-15220</t>
        </is>
      </c>
      <c r="E303" s="64" t="inlineStr">
        <is>
          <t>O-RING</t>
        </is>
      </c>
      <c r="F303" s="65" t="n">
        <v>1</v>
      </c>
      <c r="G303" s="66" t="n">
        <v>11.3</v>
      </c>
      <c r="H303" s="66" t="n">
        <v>11.3</v>
      </c>
      <c r="I303" s="66" t="n">
        <v>8.962632554985031</v>
      </c>
      <c r="J303" s="66" t="n">
        <v>8.962632554985031</v>
      </c>
      <c r="K303" s="66" t="n">
        <v>10.396</v>
      </c>
      <c r="L303" s="66" t="n">
        <v>10.396</v>
      </c>
      <c r="M303" s="67" t="n">
        <v>1.433367445014969</v>
      </c>
      <c r="N303" s="68" t="inlineStr">
        <is>
          <t>MATCH</t>
        </is>
      </c>
      <c r="O303" s="64" t="inlineStr"/>
      <c r="P303" s="66" t="n">
        <v>13.86</v>
      </c>
      <c r="Q303" s="66" t="n">
        <v>12.7512</v>
      </c>
      <c r="R303" s="69" t="n">
        <v>0.8152958152958154</v>
      </c>
    </row>
    <row r="304">
      <c r="A304" s="64" t="n">
        <v>15</v>
      </c>
      <c r="B304" s="64" t="n">
        <v>8</v>
      </c>
      <c r="C304" s="64" t="inlineStr">
        <is>
          <t>REBUILD DRIVE LINE</t>
        </is>
      </c>
      <c r="D304" s="64" t="inlineStr">
        <is>
          <t>07000-15240</t>
        </is>
      </c>
      <c r="E304" s="64" t="inlineStr">
        <is>
          <t>O-RING</t>
        </is>
      </c>
      <c r="F304" s="65" t="n">
        <v>1</v>
      </c>
      <c r="G304" s="66" t="n">
        <v>11.2</v>
      </c>
      <c r="H304" s="66" t="n">
        <v>11.2</v>
      </c>
      <c r="I304" s="66" t="n">
        <v>8.883317222640031</v>
      </c>
      <c r="J304" s="66" t="n">
        <v>8.883317222640031</v>
      </c>
      <c r="K304" s="66" t="n">
        <v>10.304</v>
      </c>
      <c r="L304" s="66" t="n">
        <v>10.304</v>
      </c>
      <c r="M304" s="67" t="n">
        <v>1.42068277735997</v>
      </c>
      <c r="N304" s="68" t="inlineStr">
        <is>
          <t>MATCH</t>
        </is>
      </c>
      <c r="O304" s="64" t="inlineStr"/>
      <c r="P304" s="66" t="n">
        <v>13.72010869565217</v>
      </c>
      <c r="Q304" s="66" t="n">
        <v>12.6225</v>
      </c>
      <c r="R304" s="69" t="n">
        <v>0.8163200633788869</v>
      </c>
    </row>
    <row r="305">
      <c r="A305" s="64" t="n">
        <v>15</v>
      </c>
      <c r="B305" s="64" t="n">
        <v>8</v>
      </c>
      <c r="C305" s="64" t="inlineStr">
        <is>
          <t>REBUILD DRIVE LINE</t>
        </is>
      </c>
      <c r="D305" s="64" t="inlineStr">
        <is>
          <t>07020-00675</t>
        </is>
      </c>
      <c r="E305" s="64" t="inlineStr">
        <is>
          <t>FITTING 45</t>
        </is>
      </c>
      <c r="F305" s="65" t="n">
        <v>1</v>
      </c>
      <c r="G305" s="66" t="n">
        <v>3.19</v>
      </c>
      <c r="H305" s="66" t="n">
        <v>3.19</v>
      </c>
      <c r="I305" s="66" t="n">
        <v>2.530159101805509</v>
      </c>
      <c r="J305" s="66" t="n">
        <v>2.530159101805509</v>
      </c>
      <c r="K305" s="66" t="n">
        <v>2.9348</v>
      </c>
      <c r="L305" s="66" t="n">
        <v>2.9348</v>
      </c>
      <c r="M305" s="67" t="n">
        <v>0.4046408981944913</v>
      </c>
      <c r="N305" s="68" t="inlineStr">
        <is>
          <t>MATCH</t>
        </is>
      </c>
      <c r="O305" s="64" t="inlineStr"/>
      <c r="P305" s="66" t="n">
        <v>3.91695652173913</v>
      </c>
      <c r="Q305" s="66" t="n">
        <v>3.6036</v>
      </c>
      <c r="R305" s="69" t="n">
        <v>0.8144078144078144</v>
      </c>
    </row>
    <row r="306">
      <c r="A306" s="64" t="n">
        <v>15</v>
      </c>
      <c r="B306" s="64" t="n">
        <v>8</v>
      </c>
      <c r="C306" s="64" t="inlineStr">
        <is>
          <t>REBUILD DRIVE LINE</t>
        </is>
      </c>
      <c r="D306" s="64" t="inlineStr">
        <is>
          <t>07030-01030</t>
        </is>
      </c>
      <c r="E306" s="64" t="inlineStr">
        <is>
          <t>BREATHER</t>
        </is>
      </c>
      <c r="F306" s="65" t="n">
        <v>1</v>
      </c>
      <c r="G306" s="66" t="n">
        <v>20.74</v>
      </c>
      <c r="H306" s="66" t="n">
        <v>20.74</v>
      </c>
      <c r="I306" s="66" t="n">
        <v>16.44999992835305</v>
      </c>
      <c r="J306" s="66" t="n">
        <v>16.44999992835305</v>
      </c>
      <c r="K306" s="66" t="n">
        <v>19.0808</v>
      </c>
      <c r="L306" s="66" t="n">
        <v>19.0808</v>
      </c>
      <c r="M306" s="67" t="n">
        <v>2.630800071646945</v>
      </c>
      <c r="N306" s="68" t="inlineStr">
        <is>
          <t>MATCH</t>
        </is>
      </c>
      <c r="O306" s="64" t="inlineStr"/>
      <c r="P306" s="66" t="n">
        <v>27.225</v>
      </c>
      <c r="Q306" s="66" t="n">
        <v>25.047</v>
      </c>
      <c r="R306" s="69" t="n">
        <v>0.7617998163452709</v>
      </c>
    </row>
    <row r="307">
      <c r="A307" s="64" t="n">
        <v>15</v>
      </c>
      <c r="B307" s="64" t="n">
        <v>8</v>
      </c>
      <c r="C307" s="64" t="inlineStr">
        <is>
          <t>REBUILD DRIVE LINE</t>
        </is>
      </c>
      <c r="D307" s="64" t="inlineStr">
        <is>
          <t>195-20-34110</t>
        </is>
      </c>
      <c r="E307" s="64" t="inlineStr">
        <is>
          <t>SPIDER</t>
        </is>
      </c>
      <c r="F307" s="65" t="n">
        <v>2</v>
      </c>
      <c r="G307" s="66" t="n">
        <v>1010.29</v>
      </c>
      <c r="H307" s="66" t="n">
        <v>2020.58</v>
      </c>
      <c r="I307" s="66" t="n">
        <v>801.3148711483033</v>
      </c>
      <c r="J307" s="66" t="n">
        <v>1602.629742296607</v>
      </c>
      <c r="K307" s="66" t="n">
        <v>929.4668</v>
      </c>
      <c r="L307" s="66" t="n">
        <v>1858.9336</v>
      </c>
      <c r="M307" s="67" t="n">
        <v>256.3038577033935</v>
      </c>
      <c r="N307" s="68" t="inlineStr">
        <is>
          <t>MATCH</t>
        </is>
      </c>
      <c r="O307" s="64" t="inlineStr"/>
      <c r="P307" s="66" t="n">
        <v>1339.24402173913</v>
      </c>
      <c r="Q307" s="66" t="n">
        <v>1232.1045</v>
      </c>
      <c r="R307" s="69" t="n">
        <v>0.7543733506370606</v>
      </c>
    </row>
    <row r="308">
      <c r="A308" s="64" t="n">
        <v>15</v>
      </c>
      <c r="B308" s="64" t="n">
        <v>8</v>
      </c>
      <c r="C308" s="64" t="inlineStr">
        <is>
          <t>REBUILD DRIVE LINE</t>
        </is>
      </c>
      <c r="D308" s="64" t="inlineStr">
        <is>
          <t>427-20-15510</t>
        </is>
      </c>
      <c r="E308" s="64" t="inlineStr">
        <is>
          <t>SHIM</t>
        </is>
      </c>
      <c r="F308" s="65" t="n">
        <v>5</v>
      </c>
      <c r="G308" s="66" t="n">
        <v>2.51</v>
      </c>
      <c r="H308" s="66" t="n">
        <v>12.55</v>
      </c>
      <c r="I308" s="66" t="n">
        <v>1.990814841859507</v>
      </c>
      <c r="J308" s="66" t="n">
        <v>9.954074209297536</v>
      </c>
      <c r="K308" s="66" t="n">
        <v>2.3092</v>
      </c>
      <c r="L308" s="66" t="n">
        <v>11.546</v>
      </c>
      <c r="M308" s="67" t="n">
        <v>1.591925790702465</v>
      </c>
      <c r="N308" s="68" t="inlineStr">
        <is>
          <t>MATCH</t>
        </is>
      </c>
      <c r="O308" s="64" t="inlineStr"/>
      <c r="P308" s="66" t="n">
        <v>3.325108695652174</v>
      </c>
      <c r="Q308" s="66" t="n">
        <v>3.0591</v>
      </c>
      <c r="R308" s="69" t="n">
        <v>0.7548625412703082</v>
      </c>
    </row>
    <row r="309">
      <c r="A309" s="64" t="n">
        <v>15</v>
      </c>
      <c r="B309" s="64" t="n">
        <v>8</v>
      </c>
      <c r="C309" s="64" t="inlineStr">
        <is>
          <t>REBUILD DRIVE LINE</t>
        </is>
      </c>
      <c r="D309" s="64" t="inlineStr">
        <is>
          <t>427-20-15520</t>
        </is>
      </c>
      <c r="E309" s="64" t="inlineStr">
        <is>
          <t>SHIM</t>
        </is>
      </c>
      <c r="F309" s="65" t="n">
        <v>5</v>
      </c>
      <c r="G309" s="66" t="n">
        <v>2.51</v>
      </c>
      <c r="H309" s="66" t="n">
        <v>12.55</v>
      </c>
      <c r="I309" s="66" t="n">
        <v>1.990814841859507</v>
      </c>
      <c r="J309" s="66" t="n">
        <v>9.954074209297536</v>
      </c>
      <c r="K309" s="66" t="n">
        <v>2.3092</v>
      </c>
      <c r="L309" s="66" t="n">
        <v>11.546</v>
      </c>
      <c r="M309" s="67" t="n">
        <v>1.591925790702465</v>
      </c>
      <c r="N309" s="68" t="inlineStr">
        <is>
          <t>MATCH</t>
        </is>
      </c>
      <c r="O309" s="64" t="inlineStr"/>
      <c r="P309" s="66" t="n">
        <v>3.325108695652174</v>
      </c>
      <c r="Q309" s="66" t="n">
        <v>3.0591</v>
      </c>
      <c r="R309" s="69" t="n">
        <v>0.7548625412703082</v>
      </c>
    </row>
    <row r="310">
      <c r="A310" s="64" t="n">
        <v>15</v>
      </c>
      <c r="B310" s="64" t="n">
        <v>8</v>
      </c>
      <c r="C310" s="64" t="inlineStr">
        <is>
          <t>REBUILD DRIVE LINE</t>
        </is>
      </c>
      <c r="D310" s="64" t="inlineStr">
        <is>
          <t>427-20-15530</t>
        </is>
      </c>
      <c r="E310" s="64" t="inlineStr">
        <is>
          <t>SHIM</t>
        </is>
      </c>
      <c r="F310" s="65" t="n">
        <v>3</v>
      </c>
      <c r="G310" s="66" t="n">
        <v>2.51</v>
      </c>
      <c r="H310" s="66" t="n">
        <v>7.53</v>
      </c>
      <c r="I310" s="66" t="n">
        <v>1.990814841859507</v>
      </c>
      <c r="J310" s="66" t="n">
        <v>5.972444525578521</v>
      </c>
      <c r="K310" s="66" t="n">
        <v>2.3092</v>
      </c>
      <c r="L310" s="66" t="n">
        <v>6.927600000000001</v>
      </c>
      <c r="M310" s="67" t="n">
        <v>0.9551554744214794</v>
      </c>
      <c r="N310" s="68" t="inlineStr">
        <is>
          <t>MATCH</t>
        </is>
      </c>
      <c r="O310" s="64" t="inlineStr"/>
      <c r="P310" s="66" t="n">
        <v>3.325108695652174</v>
      </c>
      <c r="Q310" s="66" t="n">
        <v>3.0591</v>
      </c>
      <c r="R310" s="69" t="n">
        <v>0.7548625412703082</v>
      </c>
    </row>
    <row r="311">
      <c r="A311" s="64" t="n">
        <v>15</v>
      </c>
      <c r="B311" s="64" t="n">
        <v>8</v>
      </c>
      <c r="C311" s="64" t="inlineStr">
        <is>
          <t>REBUILD DRIVE LINE</t>
        </is>
      </c>
      <c r="D311" s="64" t="inlineStr">
        <is>
          <t>427-20-15710</t>
        </is>
      </c>
      <c r="E311" s="64" t="inlineStr">
        <is>
          <t>BEARING</t>
        </is>
      </c>
      <c r="F311" s="65" t="n">
        <v>1</v>
      </c>
      <c r="G311" s="66" t="n">
        <v>849.49</v>
      </c>
      <c r="H311" s="66" t="n">
        <v>849.49</v>
      </c>
      <c r="I311" s="66" t="n">
        <v>673.7758167375429</v>
      </c>
      <c r="J311" s="66" t="n">
        <v>673.7758167375429</v>
      </c>
      <c r="K311" s="66" t="n">
        <v>781.5308</v>
      </c>
      <c r="L311" s="66" t="n">
        <v>781.5308</v>
      </c>
      <c r="M311" s="67" t="n">
        <v>107.7549832624571</v>
      </c>
      <c r="N311" s="68" t="inlineStr">
        <is>
          <t>MATCH</t>
        </is>
      </c>
      <c r="O311" s="64" t="inlineStr"/>
      <c r="P311" s="66" t="n">
        <v>1126.092717391304</v>
      </c>
      <c r="Q311" s="66" t="n">
        <v>1036.0053</v>
      </c>
      <c r="R311" s="69" t="n">
        <v>0.7543694998471533</v>
      </c>
    </row>
    <row r="312">
      <c r="A312" s="64" t="n">
        <v>15</v>
      </c>
      <c r="B312" s="64" t="n">
        <v>8</v>
      </c>
      <c r="C312" s="64" t="inlineStr">
        <is>
          <t>REBUILD DRIVE LINE</t>
        </is>
      </c>
      <c r="D312" s="64" t="inlineStr">
        <is>
          <t>427-20-15720</t>
        </is>
      </c>
      <c r="E312" s="64" t="inlineStr">
        <is>
          <t>BEARING</t>
        </is>
      </c>
      <c r="F312" s="65" t="n">
        <v>1</v>
      </c>
      <c r="G312" s="66" t="n">
        <v>745.52</v>
      </c>
      <c r="H312" s="66" t="n">
        <v>745.52</v>
      </c>
      <c r="I312" s="66" t="n">
        <v>591.3116656984461</v>
      </c>
      <c r="J312" s="66" t="n">
        <v>591.3116656984461</v>
      </c>
      <c r="K312" s="66" t="n">
        <v>685.8784000000001</v>
      </c>
      <c r="L312" s="66" t="n">
        <v>685.8784000000001</v>
      </c>
      <c r="M312" s="67" t="n">
        <v>94.56673430155399</v>
      </c>
      <c r="N312" s="68" t="inlineStr">
        <is>
          <t>MATCH</t>
        </is>
      </c>
      <c r="O312" s="64" t="inlineStr"/>
      <c r="P312" s="66" t="n">
        <v>988.2782608695652</v>
      </c>
      <c r="Q312" s="66" t="n">
        <v>909.216</v>
      </c>
      <c r="R312" s="69" t="n">
        <v>0.7543624397282934</v>
      </c>
    </row>
    <row r="313">
      <c r="A313" s="64" t="n">
        <v>15</v>
      </c>
      <c r="B313" s="64" t="n">
        <v>8</v>
      </c>
      <c r="C313" s="64" t="inlineStr">
        <is>
          <t>REBUILD DRIVE LINE</t>
        </is>
      </c>
      <c r="D313" s="64" t="inlineStr">
        <is>
          <t>427-20-15730</t>
        </is>
      </c>
      <c r="E313" s="64" t="inlineStr">
        <is>
          <t>OIL SEAL</t>
        </is>
      </c>
      <c r="F313" s="65" t="n">
        <v>2</v>
      </c>
      <c r="G313" s="66" t="n">
        <v>108.63</v>
      </c>
      <c r="H313" s="66" t="n">
        <v>217.26</v>
      </c>
      <c r="I313" s="66" t="n">
        <v>86.1602455263738</v>
      </c>
      <c r="J313" s="66" t="n">
        <v>172.3204910527476</v>
      </c>
      <c r="K313" s="66" t="n">
        <v>99.9396</v>
      </c>
      <c r="L313" s="66" t="n">
        <v>199.8792</v>
      </c>
      <c r="M313" s="67" t="n">
        <v>27.5587089472524</v>
      </c>
      <c r="N313" s="68" t="inlineStr">
        <is>
          <t>MATCH</t>
        </is>
      </c>
      <c r="O313" s="64" t="inlineStr"/>
      <c r="P313" s="66" t="n">
        <v>144.0019565217391</v>
      </c>
      <c r="Q313" s="66" t="n">
        <v>132.4818</v>
      </c>
      <c r="R313" s="69" t="n">
        <v>0.7543647504789337</v>
      </c>
    </row>
    <row r="314">
      <c r="A314" s="64" t="n">
        <v>15</v>
      </c>
      <c r="B314" s="64" t="n">
        <v>8</v>
      </c>
      <c r="C314" s="64" t="inlineStr">
        <is>
          <t>REBUILD DRIVE LINE</t>
        </is>
      </c>
      <c r="D314" s="64" t="inlineStr">
        <is>
          <t>42C-12-12621</t>
        </is>
      </c>
      <c r="E314" s="64" t="inlineStr">
        <is>
          <t>SPIDER ASSY</t>
        </is>
      </c>
      <c r="F314" s="65" t="n">
        <v>6</v>
      </c>
      <c r="G314" s="66" t="n">
        <v>2831.52</v>
      </c>
      <c r="H314" s="66" t="n">
        <v>16989.12</v>
      </c>
      <c r="I314" s="66" t="n">
        <v>2245.829498415152</v>
      </c>
      <c r="J314" s="66" t="n">
        <v>13474.97699049091</v>
      </c>
      <c r="K314" s="66" t="n">
        <v>2604.9984</v>
      </c>
      <c r="L314" s="66" t="n">
        <v>15629.9904</v>
      </c>
      <c r="M314" s="67" t="n">
        <v>2155.013409509091</v>
      </c>
      <c r="N314" s="63" t="inlineStr">
        <is>
          <t>NO MATCH</t>
        </is>
      </c>
      <c r="O314" s="64" t="inlineStr">
        <is>
          <t>Komatsu PN not in master file</t>
        </is>
      </c>
      <c r="P314" s="66" t="n"/>
      <c r="Q314" s="66" t="n"/>
      <c r="R314" s="69" t="n"/>
    </row>
    <row r="315">
      <c r="A315" s="64" t="n">
        <v>15</v>
      </c>
      <c r="B315" s="64" t="n">
        <v>8</v>
      </c>
      <c r="C315" s="64" t="inlineStr">
        <is>
          <t>REBUILD DRIVE LINE</t>
        </is>
      </c>
      <c r="D315" s="64" t="inlineStr">
        <is>
          <t>42C-12-12670</t>
        </is>
      </c>
      <c r="E315" s="64" t="inlineStr">
        <is>
          <t>SEAL</t>
        </is>
      </c>
      <c r="F315" s="65" t="n">
        <v>2</v>
      </c>
      <c r="G315" s="66" t="n">
        <v>115.02</v>
      </c>
      <c r="H315" s="66" t="n">
        <v>230.04</v>
      </c>
      <c r="I315" s="66" t="n">
        <v>91.22849526321932</v>
      </c>
      <c r="J315" s="66" t="n">
        <v>182.4569905264386</v>
      </c>
      <c r="K315" s="66" t="n">
        <v>105.8184</v>
      </c>
      <c r="L315" s="66" t="n">
        <v>211.6368</v>
      </c>
      <c r="M315" s="67" t="n">
        <v>29.17980947356136</v>
      </c>
      <c r="N315" s="63" t="inlineStr">
        <is>
          <t>NO MATCH</t>
        </is>
      </c>
      <c r="O315" s="64" t="inlineStr">
        <is>
          <t>Komatsu PN not in master file</t>
        </is>
      </c>
      <c r="P315" s="66" t="n"/>
      <c r="Q315" s="66" t="n"/>
      <c r="R315" s="69" t="n"/>
    </row>
    <row r="316">
      <c r="A316" s="64" t="n">
        <v>15</v>
      </c>
      <c r="B316" s="64" t="n">
        <v>8</v>
      </c>
      <c r="C316" s="64" t="inlineStr">
        <is>
          <t>REBUILD DRIVE LINE</t>
        </is>
      </c>
      <c r="D316" s="64" t="inlineStr">
        <is>
          <t>42C-12-12690</t>
        </is>
      </c>
      <c r="E316" s="64" t="inlineStr">
        <is>
          <t>SCREW</t>
        </is>
      </c>
      <c r="F316" s="65" t="n">
        <v>16</v>
      </c>
      <c r="G316" s="66" t="n">
        <v>58.98</v>
      </c>
      <c r="H316" s="66" t="n">
        <v>943.6799999999999</v>
      </c>
      <c r="I316" s="66" t="n">
        <v>46.78018301708116</v>
      </c>
      <c r="J316" s="66" t="n">
        <v>748.4829282732986</v>
      </c>
      <c r="K316" s="66" t="n">
        <v>54.2616</v>
      </c>
      <c r="L316" s="66" t="n">
        <v>868.1856</v>
      </c>
      <c r="M316" s="67" t="n">
        <v>119.7026717267014</v>
      </c>
      <c r="N316" s="63" t="inlineStr">
        <is>
          <t>NO MATCH</t>
        </is>
      </c>
      <c r="O316" s="64" t="inlineStr">
        <is>
          <t>Komatsu PN not in master file</t>
        </is>
      </c>
      <c r="P316" s="66" t="n"/>
      <c r="Q316" s="66" t="n"/>
      <c r="R316" s="69" t="n"/>
    </row>
    <row r="317">
      <c r="A317" s="64" t="n">
        <v>15</v>
      </c>
      <c r="B317" s="64" t="n">
        <v>8</v>
      </c>
      <c r="C317" s="64" t="inlineStr">
        <is>
          <t>REBUILD DRIVE LINE</t>
        </is>
      </c>
      <c r="D317" s="64" t="inlineStr">
        <is>
          <t>FI</t>
        </is>
      </c>
      <c r="E317" s="64" t="inlineStr">
        <is>
          <t>FREIGHT IN</t>
        </is>
      </c>
      <c r="F317" s="65" t="n">
        <v>1</v>
      </c>
      <c r="G317" s="66" t="n">
        <v>21.61</v>
      </c>
      <c r="H317" s="66" t="n">
        <v>21.61</v>
      </c>
      <c r="I317" s="66" t="n">
        <v>17.14004331975456</v>
      </c>
      <c r="J317" s="66" t="n">
        <v>17.14004331975456</v>
      </c>
      <c r="K317" s="66" t="n">
        <v>19.8812</v>
      </c>
      <c r="L317" s="66" t="n">
        <v>19.8812</v>
      </c>
      <c r="M317" s="67" t="n">
        <v>2.741156680245439</v>
      </c>
      <c r="N317" s="63" t="inlineStr">
        <is>
          <t>NO MATCH</t>
        </is>
      </c>
      <c r="O317" s="64" t="inlineStr">
        <is>
          <t>Freight-in</t>
        </is>
      </c>
      <c r="P317" s="66" t="n"/>
      <c r="Q317" s="66" t="n"/>
      <c r="R317" s="69" t="n"/>
    </row>
    <row r="318">
      <c r="A318" s="13" t="n">
        <v>16</v>
      </c>
      <c r="B318" s="13" t="n">
        <v>9</v>
      </c>
      <c r="C318" s="13" t="inlineStr">
        <is>
          <t>FLUIDS AND FILTERS</t>
        </is>
      </c>
      <c r="D318" s="13" t="inlineStr">
        <is>
          <t>07000-12014</t>
        </is>
      </c>
      <c r="E318" s="13" t="inlineStr">
        <is>
          <t>O-RING P60</t>
        </is>
      </c>
      <c r="F318" s="34" t="n">
        <v>6</v>
      </c>
      <c r="G318" s="14" t="n">
        <v>1.1</v>
      </c>
      <c r="H318" s="14" t="n">
        <v>6.6</v>
      </c>
      <c r="I318" s="14" t="n">
        <v>0.8724686557950031</v>
      </c>
      <c r="J318" s="14" t="n">
        <v>5.234811934770018</v>
      </c>
      <c r="K318" s="14" t="n">
        <v>1.012</v>
      </c>
      <c r="L318" s="14" t="n">
        <v>6.072</v>
      </c>
      <c r="M318" s="61" t="n">
        <v>0.8371880652299817</v>
      </c>
      <c r="N318" s="54" t="inlineStr">
        <is>
          <t>MATCH</t>
        </is>
      </c>
      <c r="O318" s="13" t="inlineStr"/>
      <c r="P318" s="14" t="n">
        <v>1.215978260869565</v>
      </c>
      <c r="Q318" s="14" t="n">
        <v>1.1187</v>
      </c>
      <c r="R318" s="62" t="n">
        <v>0.9046214355948871</v>
      </c>
    </row>
    <row r="319">
      <c r="A319" s="13" t="n">
        <v>16</v>
      </c>
      <c r="B319" s="13" t="n">
        <v>9</v>
      </c>
      <c r="C319" s="13" t="inlineStr">
        <is>
          <t>FLUIDS AND FILTERS</t>
        </is>
      </c>
      <c r="D319" s="13" t="inlineStr">
        <is>
          <t>07000-12115</t>
        </is>
      </c>
      <c r="E319" s="13" t="inlineStr">
        <is>
          <t>O-RING P60</t>
        </is>
      </c>
      <c r="F319" s="34" t="n">
        <v>1</v>
      </c>
      <c r="G319" s="14" t="n">
        <v>4.87</v>
      </c>
      <c r="H319" s="14" t="n">
        <v>4.87</v>
      </c>
      <c r="I319" s="14" t="n">
        <v>3.862656685201514</v>
      </c>
      <c r="J319" s="14" t="n">
        <v>3.862656685201514</v>
      </c>
      <c r="K319" s="14" t="n">
        <v>4.4804</v>
      </c>
      <c r="L319" s="14" t="n">
        <v>4.4804</v>
      </c>
      <c r="M319" s="61" t="n">
        <v>0.6177433147984868</v>
      </c>
      <c r="N319" s="54" t="inlineStr">
        <is>
          <t>MATCH</t>
        </is>
      </c>
      <c r="O319" s="13" t="inlineStr"/>
      <c r="P319" s="14" t="n">
        <v>5.369673913043478</v>
      </c>
      <c r="Q319" s="14" t="n">
        <v>4.9401</v>
      </c>
      <c r="R319" s="62" t="n">
        <v>0.90694520353839</v>
      </c>
    </row>
    <row r="320">
      <c r="A320" s="13" t="n">
        <v>16</v>
      </c>
      <c r="B320" s="13" t="n">
        <v>9</v>
      </c>
      <c r="C320" s="13" t="inlineStr">
        <is>
          <t>FLUIDS AND FILTERS</t>
        </is>
      </c>
      <c r="D320" s="13" t="inlineStr">
        <is>
          <t>07000-12125</t>
        </is>
      </c>
      <c r="E320" s="13" t="inlineStr">
        <is>
          <t>O-RING P60</t>
        </is>
      </c>
      <c r="F320" s="34" t="n">
        <v>6</v>
      </c>
      <c r="G320" s="14" t="n">
        <v>5.08</v>
      </c>
      <c r="H320" s="14" t="n">
        <v>30.48</v>
      </c>
      <c r="I320" s="14" t="n">
        <v>4.029218883126014</v>
      </c>
      <c r="J320" s="14" t="n">
        <v>24.17531329875608</v>
      </c>
      <c r="K320" s="14" t="n">
        <v>4.6736</v>
      </c>
      <c r="L320" s="14" t="n">
        <v>28.0416</v>
      </c>
      <c r="M320" s="61" t="n">
        <v>3.866286701243919</v>
      </c>
      <c r="N320" s="54" t="inlineStr">
        <is>
          <t>MATCH</t>
        </is>
      </c>
      <c r="O320" s="13" t="inlineStr"/>
      <c r="P320" s="14" t="n">
        <v>5.595652173913042</v>
      </c>
      <c r="Q320" s="14" t="n">
        <v>5.148</v>
      </c>
      <c r="R320" s="62" t="n">
        <v>0.9078477078477081</v>
      </c>
    </row>
    <row r="321">
      <c r="A321" s="13" t="n">
        <v>16</v>
      </c>
      <c r="B321" s="13" t="n">
        <v>9</v>
      </c>
      <c r="C321" s="13" t="inlineStr">
        <is>
          <t>FLUIDS AND FILTERS</t>
        </is>
      </c>
      <c r="D321" s="13" t="inlineStr">
        <is>
          <t>07000-15175</t>
        </is>
      </c>
      <c r="E321" s="13" t="inlineStr">
        <is>
          <t>O-RING</t>
        </is>
      </c>
      <c r="F321" s="34" t="n">
        <v>3</v>
      </c>
      <c r="G321" s="14" t="n">
        <v>10.71</v>
      </c>
      <c r="H321" s="14" t="n">
        <v>32.13</v>
      </c>
      <c r="I321" s="14" t="n">
        <v>8.49467209414953</v>
      </c>
      <c r="J321" s="14" t="n">
        <v>25.48401628244859</v>
      </c>
      <c r="K321" s="14" t="n">
        <v>9.853200000000001</v>
      </c>
      <c r="L321" s="14" t="n">
        <v>29.5596</v>
      </c>
      <c r="M321" s="61" t="n">
        <v>4.07558371755141</v>
      </c>
      <c r="N321" s="54" t="inlineStr">
        <is>
          <t>MATCH</t>
        </is>
      </c>
      <c r="O321" s="13" t="inlineStr"/>
      <c r="P321" s="14" t="n">
        <v>11.8154347826087</v>
      </c>
      <c r="Q321" s="14" t="n">
        <v>10.8702</v>
      </c>
      <c r="R321" s="62" t="n">
        <v>0.9064414638185131</v>
      </c>
    </row>
    <row r="322">
      <c r="A322" s="13" t="n">
        <v>16</v>
      </c>
      <c r="B322" s="13" t="n">
        <v>9</v>
      </c>
      <c r="C322" s="13" t="inlineStr">
        <is>
          <t>FLUIDS AND FILTERS</t>
        </is>
      </c>
      <c r="D322" s="13" t="inlineStr">
        <is>
          <t>07063-51054</t>
        </is>
      </c>
      <c r="E322" s="13" t="inlineStr">
        <is>
          <t>ELEMENT</t>
        </is>
      </c>
      <c r="F322" s="34" t="n">
        <v>1</v>
      </c>
      <c r="G322" s="14" t="n">
        <v>82.65000000000001</v>
      </c>
      <c r="H322" s="14" t="n">
        <v>82.65000000000001</v>
      </c>
      <c r="I322" s="14" t="n">
        <v>65.55412218314274</v>
      </c>
      <c r="J322" s="14" t="n">
        <v>65.55412218314274</v>
      </c>
      <c r="K322" s="14" t="n">
        <v>76.03800000000001</v>
      </c>
      <c r="L322" s="14" t="n">
        <v>76.03800000000001</v>
      </c>
      <c r="M322" s="61" t="n">
        <v>10.48387781685727</v>
      </c>
      <c r="N322" s="54" t="inlineStr">
        <is>
          <t>MATCH</t>
        </is>
      </c>
      <c r="O322" s="13" t="inlineStr"/>
      <c r="P322" s="14" t="n">
        <v>93.89934782608695</v>
      </c>
      <c r="Q322" s="14" t="n">
        <v>86.3874</v>
      </c>
      <c r="R322" s="62" t="n">
        <v>0.8801978066245773</v>
      </c>
    </row>
    <row r="323">
      <c r="A323" s="13" t="n">
        <v>16</v>
      </c>
      <c r="B323" s="13" t="n">
        <v>9</v>
      </c>
      <c r="C323" s="13" t="inlineStr">
        <is>
          <t>FLUIDS AND FILTERS</t>
        </is>
      </c>
      <c r="D323" s="13" t="inlineStr">
        <is>
          <t>07063-51210</t>
        </is>
      </c>
      <c r="E323" s="13" t="inlineStr">
        <is>
          <t>ELEMENT P60</t>
        </is>
      </c>
      <c r="F323" s="34" t="n">
        <v>3</v>
      </c>
      <c r="G323" s="14" t="n">
        <v>119.09</v>
      </c>
      <c r="H323" s="14" t="n">
        <v>357.27</v>
      </c>
      <c r="I323" s="14" t="n">
        <v>94.45662928966084</v>
      </c>
      <c r="J323" s="14" t="n">
        <v>283.3698878689825</v>
      </c>
      <c r="K323" s="14" t="n">
        <v>109.5628</v>
      </c>
      <c r="L323" s="14" t="n">
        <v>328.6884</v>
      </c>
      <c r="M323" s="61" t="n">
        <v>45.31851213101754</v>
      </c>
      <c r="N323" s="54" t="inlineStr">
        <is>
          <t>MATCH</t>
        </is>
      </c>
      <c r="O323" s="13" t="inlineStr"/>
      <c r="P323" s="14" t="n">
        <v>135.285652173913</v>
      </c>
      <c r="Q323" s="14" t="n">
        <v>124.4628</v>
      </c>
      <c r="R323" s="62" t="n">
        <v>0.8802855150293903</v>
      </c>
    </row>
    <row r="324">
      <c r="A324" s="13" t="n">
        <v>16</v>
      </c>
      <c r="B324" s="13" t="n">
        <v>9</v>
      </c>
      <c r="C324" s="13" t="inlineStr">
        <is>
          <t>FLUIDS AND FILTERS</t>
        </is>
      </c>
      <c r="D324" s="13" t="inlineStr">
        <is>
          <t>1400501H2</t>
        </is>
      </c>
      <c r="E324" s="13" t="inlineStr">
        <is>
          <t>TO10 TRANS 5GAL</t>
        </is>
      </c>
      <c r="F324" s="34" t="n">
        <v>3</v>
      </c>
      <c r="G324" s="14" t="n">
        <v>81.43000000000001</v>
      </c>
      <c r="H324" s="14" t="n">
        <v>244.29</v>
      </c>
      <c r="I324" s="14" t="n">
        <v>64.58647512853373</v>
      </c>
      <c r="J324" s="14" t="n">
        <v>193.7594253856012</v>
      </c>
      <c r="K324" s="14" t="n">
        <v>74.91560000000001</v>
      </c>
      <c r="L324" s="14" t="n">
        <v>224.7468</v>
      </c>
      <c r="M324" s="61" t="n">
        <v>30.98737461439885</v>
      </c>
      <c r="N324" s="54" t="inlineStr">
        <is>
          <t>MATCH</t>
        </is>
      </c>
      <c r="O324" s="13" t="inlineStr"/>
      <c r="P324" s="14" t="n">
        <v>112.4510869565217</v>
      </c>
      <c r="Q324" s="14" t="n">
        <v>103.455</v>
      </c>
      <c r="R324" s="62" t="n">
        <v>0.7241370644241458</v>
      </c>
    </row>
    <row r="325">
      <c r="A325" s="13" t="n">
        <v>16</v>
      </c>
      <c r="B325" s="13" t="n">
        <v>9</v>
      </c>
      <c r="C325" s="13" t="inlineStr">
        <is>
          <t>FLUIDS AND FILTERS</t>
        </is>
      </c>
      <c r="D325" s="13" t="inlineStr">
        <is>
          <t>1400505H2</t>
        </is>
      </c>
      <c r="E325" s="13" t="inlineStr">
        <is>
          <t>TO30 TRANS 5GA</t>
        </is>
      </c>
      <c r="F325" s="34" t="n">
        <v>1</v>
      </c>
      <c r="G325" s="14" t="n">
        <v>84.92</v>
      </c>
      <c r="H325" s="14" t="n">
        <v>84.92</v>
      </c>
      <c r="I325" s="14" t="n">
        <v>67.35458022737424</v>
      </c>
      <c r="J325" s="14" t="n">
        <v>67.35458022737424</v>
      </c>
      <c r="K325" s="14" t="n">
        <v>78.1264</v>
      </c>
      <c r="L325" s="14" t="n">
        <v>78.1264</v>
      </c>
      <c r="M325" s="61" t="n">
        <v>10.77181977262576</v>
      </c>
      <c r="N325" s="54" t="inlineStr">
        <is>
          <t>MATCH</t>
        </is>
      </c>
      <c r="O325" s="13" t="inlineStr"/>
      <c r="P325" s="14" t="n">
        <v>117.2827173913043</v>
      </c>
      <c r="Q325" s="14" t="n">
        <v>107.9001</v>
      </c>
      <c r="R325" s="62" t="n">
        <v>0.7240623502665893</v>
      </c>
    </row>
    <row r="326">
      <c r="A326" s="13" t="n">
        <v>16</v>
      </c>
      <c r="B326" s="13" t="n">
        <v>9</v>
      </c>
      <c r="C326" s="13" t="inlineStr">
        <is>
          <t>FLUIDS AND FILTERS</t>
        </is>
      </c>
      <c r="D326" s="13" t="inlineStr">
        <is>
          <t>1400507H2</t>
        </is>
      </c>
      <c r="E326" s="13" t="inlineStr">
        <is>
          <t>TO30 BULK</t>
        </is>
      </c>
      <c r="F326" s="34" t="n">
        <v>45</v>
      </c>
      <c r="G326" s="14" t="n">
        <v>12.13</v>
      </c>
      <c r="H326" s="14" t="n">
        <v>545.85</v>
      </c>
      <c r="I326" s="14" t="n">
        <v>9.620949813448535</v>
      </c>
      <c r="J326" s="14" t="n">
        <v>432.942741605184</v>
      </c>
      <c r="K326" s="14" t="n">
        <v>11.1596</v>
      </c>
      <c r="L326" s="14" t="n">
        <v>502.182</v>
      </c>
      <c r="M326" s="61" t="n">
        <v>69.23925839481598</v>
      </c>
      <c r="N326" s="54" t="inlineStr">
        <is>
          <t>MATCH</t>
        </is>
      </c>
      <c r="O326" s="13" t="inlineStr"/>
      <c r="P326" s="14" t="n">
        <v>16.75467391304348</v>
      </c>
      <c r="Q326" s="14" t="n">
        <v>15.4143</v>
      </c>
      <c r="R326" s="62" t="n">
        <v>0.7239770862121536</v>
      </c>
    </row>
    <row r="327">
      <c r="A327" s="13" t="n">
        <v>16</v>
      </c>
      <c r="B327" s="13" t="n">
        <v>9</v>
      </c>
      <c r="C327" s="13" t="inlineStr">
        <is>
          <t>FLUIDS AND FILTERS</t>
        </is>
      </c>
      <c r="D327" s="13" t="inlineStr">
        <is>
          <t>1400530H3</t>
        </is>
      </c>
      <c r="E327" s="13" t="inlineStr">
        <is>
          <t>HO46-HM 5 GAL</t>
        </is>
      </c>
      <c r="F327" s="34" t="n">
        <v>1</v>
      </c>
      <c r="G327" s="14" t="n">
        <v>71.26000000000001</v>
      </c>
      <c r="H327" s="14" t="n">
        <v>71.26000000000001</v>
      </c>
      <c r="I327" s="14" t="n">
        <v>56.5201058290472</v>
      </c>
      <c r="J327" s="14" t="n">
        <v>56.5201058290472</v>
      </c>
      <c r="K327" s="14" t="n">
        <v>65.5592</v>
      </c>
      <c r="L327" s="14" t="n">
        <v>65.5592</v>
      </c>
      <c r="M327" s="61" t="n">
        <v>9.039094170952801</v>
      </c>
      <c r="N327" s="54" t="inlineStr">
        <is>
          <t>MATCH</t>
        </is>
      </c>
      <c r="O327" s="13" t="inlineStr"/>
      <c r="P327" s="14" t="n">
        <v>98.41891304347824</v>
      </c>
      <c r="Q327" s="14" t="n">
        <v>90.54539999999999</v>
      </c>
      <c r="R327" s="62" t="n">
        <v>0.7240478257316221</v>
      </c>
    </row>
    <row r="328">
      <c r="A328" s="13" t="n">
        <v>16</v>
      </c>
      <c r="B328" s="13" t="n">
        <v>9</v>
      </c>
      <c r="C328" s="13" t="inlineStr">
        <is>
          <t>FLUIDS AND FILTERS</t>
        </is>
      </c>
      <c r="D328" s="13" t="inlineStr">
        <is>
          <t>1400533H2</t>
        </is>
      </c>
      <c r="E328" s="13" t="inlineStr">
        <is>
          <t>HO46-HM BULK</t>
        </is>
      </c>
      <c r="F328" s="34" t="n">
        <v>257</v>
      </c>
      <c r="G328" s="14" t="n">
        <v>10.09</v>
      </c>
      <c r="H328" s="14" t="n">
        <v>2593.13</v>
      </c>
      <c r="I328" s="14" t="n">
        <v>8.002917033610528</v>
      </c>
      <c r="J328" s="14" t="n">
        <v>2056.749677637906</v>
      </c>
      <c r="K328" s="14" t="n">
        <v>9.2828</v>
      </c>
      <c r="L328" s="14" t="n">
        <v>2385.6796</v>
      </c>
      <c r="M328" s="61" t="n">
        <v>328.9299223620947</v>
      </c>
      <c r="N328" s="54" t="inlineStr">
        <is>
          <t>MATCH</t>
        </is>
      </c>
      <c r="O328" s="13" t="inlineStr"/>
      <c r="P328" s="14" t="n">
        <v>13.94608695652174</v>
      </c>
      <c r="Q328" s="14" t="n">
        <v>12.8304</v>
      </c>
      <c r="R328" s="62" t="n">
        <v>0.7235004364633995</v>
      </c>
    </row>
    <row r="329">
      <c r="A329" s="13" t="n">
        <v>16</v>
      </c>
      <c r="B329" s="13" t="n">
        <v>9</v>
      </c>
      <c r="C329" s="13" t="inlineStr">
        <is>
          <t>FLUIDS AND FILTERS</t>
        </is>
      </c>
      <c r="D329" s="13" t="inlineStr">
        <is>
          <t>1401619H2</t>
        </is>
      </c>
      <c r="E329" s="13" t="inlineStr">
        <is>
          <t>AXO 80 BULK</t>
        </is>
      </c>
      <c r="F329" s="34" t="n">
        <v>200</v>
      </c>
      <c r="G329" s="14" t="n">
        <v>19.16</v>
      </c>
      <c r="H329" s="14" t="n">
        <v>3832</v>
      </c>
      <c r="I329" s="14" t="n">
        <v>15.19681767730205</v>
      </c>
      <c r="J329" s="14" t="n">
        <v>3039.363535460411</v>
      </c>
      <c r="K329" s="14" t="n">
        <v>17.6272</v>
      </c>
      <c r="L329" s="14" t="n">
        <v>3525.44</v>
      </c>
      <c r="M329" s="61" t="n">
        <v>486.0764645395893</v>
      </c>
      <c r="N329" s="54" t="inlineStr">
        <is>
          <t>MATCH</t>
        </is>
      </c>
      <c r="O329" s="13" t="inlineStr"/>
      <c r="P329" s="14" t="n">
        <v>26.45021739130435</v>
      </c>
      <c r="Q329" s="14" t="n">
        <v>24.3342</v>
      </c>
      <c r="R329" s="62" t="n">
        <v>0.7243796796278489</v>
      </c>
    </row>
    <row r="330">
      <c r="A330" s="13" t="n">
        <v>16</v>
      </c>
      <c r="B330" s="13" t="n">
        <v>9</v>
      </c>
      <c r="C330" s="13" t="inlineStr">
        <is>
          <t>FLUIDS AND FILTERS</t>
        </is>
      </c>
      <c r="D330" s="13" t="inlineStr">
        <is>
          <t>285-62-17320</t>
        </is>
      </c>
      <c r="E330" s="13" t="inlineStr">
        <is>
          <t>ELEMENT</t>
        </is>
      </c>
      <c r="F330" s="34" t="n">
        <v>3</v>
      </c>
      <c r="G330" s="14" t="n">
        <v>20.85</v>
      </c>
      <c r="H330" s="14" t="n">
        <v>62.55</v>
      </c>
      <c r="I330" s="14" t="n">
        <v>16.53724679393256</v>
      </c>
      <c r="J330" s="14" t="n">
        <v>49.61174038179767</v>
      </c>
      <c r="K330" s="14" t="n">
        <v>19.182</v>
      </c>
      <c r="L330" s="14" t="n">
        <v>57.546</v>
      </c>
      <c r="M330" s="61" t="n">
        <v>7.934259618202326</v>
      </c>
      <c r="N330" s="54" t="inlineStr">
        <is>
          <t>MATCH</t>
        </is>
      </c>
      <c r="O330" s="13" t="inlineStr"/>
      <c r="P330" s="14" t="n">
        <v>24.87913043478261</v>
      </c>
      <c r="Q330" s="14" t="n">
        <v>22.8888</v>
      </c>
      <c r="R330" s="62" t="n">
        <v>0.8380517982594109</v>
      </c>
    </row>
    <row r="331">
      <c r="A331" s="13" t="n">
        <v>16</v>
      </c>
      <c r="B331" s="13" t="n">
        <v>9</v>
      </c>
      <c r="C331" s="13" t="inlineStr">
        <is>
          <t>FLUIDS AND FILTERS</t>
        </is>
      </c>
      <c r="D331" s="13" t="inlineStr">
        <is>
          <t>424-16-11140</t>
        </is>
      </c>
      <c r="E331" s="13" t="inlineStr">
        <is>
          <t>ELEMENT P</t>
        </is>
      </c>
      <c r="F331" s="34" t="n">
        <v>6</v>
      </c>
      <c r="G331" s="14" t="n">
        <v>28.27</v>
      </c>
      <c r="H331" s="14" t="n">
        <v>169.62</v>
      </c>
      <c r="I331" s="14" t="n">
        <v>22.42244445393158</v>
      </c>
      <c r="J331" s="14" t="n">
        <v>134.5346667235895</v>
      </c>
      <c r="K331" s="14" t="n">
        <v>26.0084</v>
      </c>
      <c r="L331" s="14" t="n">
        <v>156.0504</v>
      </c>
      <c r="M331" s="61" t="n">
        <v>21.51573327641054</v>
      </c>
      <c r="N331" s="54" t="inlineStr">
        <is>
          <t>MATCH</t>
        </is>
      </c>
      <c r="O331" s="13" t="inlineStr"/>
      <c r="P331" s="14" t="n">
        <v>32.11043478260869</v>
      </c>
      <c r="Q331" s="14" t="n">
        <v>29.5416</v>
      </c>
      <c r="R331" s="62" t="n">
        <v>0.8803991659219542</v>
      </c>
    </row>
    <row r="332">
      <c r="A332" s="13" t="n">
        <v>16</v>
      </c>
      <c r="B332" s="13" t="n">
        <v>9</v>
      </c>
      <c r="C332" s="13" t="inlineStr">
        <is>
          <t>FLUIDS AND FILTERS</t>
        </is>
      </c>
      <c r="D332" s="13" t="inlineStr">
        <is>
          <t>426-43-38760</t>
        </is>
      </c>
      <c r="E332" s="13" t="inlineStr">
        <is>
          <t>CARTRIDGE AS</t>
        </is>
      </c>
      <c r="F332" s="34" t="n">
        <v>2</v>
      </c>
      <c r="G332" s="14" t="n">
        <v>219.75</v>
      </c>
      <c r="H332" s="14" t="n">
        <v>439.5</v>
      </c>
      <c r="I332" s="14" t="n">
        <v>174.2954428281381</v>
      </c>
      <c r="J332" s="14" t="n">
        <v>348.5908856562762</v>
      </c>
      <c r="K332" s="14" t="n">
        <v>202.17</v>
      </c>
      <c r="L332" s="14" t="n">
        <v>404.34</v>
      </c>
      <c r="M332" s="61" t="n">
        <v>55.74911434372382</v>
      </c>
      <c r="N332" s="54" t="inlineStr">
        <is>
          <t>MATCH</t>
        </is>
      </c>
      <c r="O332" s="13" t="inlineStr"/>
      <c r="P332" s="14" t="n">
        <v>262.1778260869565</v>
      </c>
      <c r="Q332" s="14" t="n">
        <v>241.2036</v>
      </c>
      <c r="R332" s="62" t="n">
        <v>0.8381715695785636</v>
      </c>
    </row>
    <row r="333">
      <c r="A333" s="13" t="n">
        <v>16</v>
      </c>
      <c r="B333" s="13" t="n">
        <v>9</v>
      </c>
      <c r="C333" s="13" t="inlineStr">
        <is>
          <t>FLUIDS AND FILTERS</t>
        </is>
      </c>
      <c r="D333" s="13" t="inlineStr">
        <is>
          <t>600-185-6100</t>
        </is>
      </c>
      <c r="E333" s="13" t="inlineStr">
        <is>
          <t>ELEMNT AIR ASSY</t>
        </is>
      </c>
      <c r="F333" s="34" t="n">
        <v>2</v>
      </c>
      <c r="G333" s="14" t="n">
        <v>237.34</v>
      </c>
      <c r="H333" s="14" t="n">
        <v>474.68</v>
      </c>
      <c r="I333" s="14" t="n">
        <v>188.2470097876237</v>
      </c>
      <c r="J333" s="14" t="n">
        <v>376.4940195752473</v>
      </c>
      <c r="K333" s="14" t="n">
        <v>218.3528</v>
      </c>
      <c r="L333" s="14" t="n">
        <v>436.7056</v>
      </c>
      <c r="M333" s="61" t="n">
        <v>60.2115804247527</v>
      </c>
      <c r="N333" s="54" t="inlineStr">
        <is>
          <t>MATCH</t>
        </is>
      </c>
      <c r="O333" s="13" t="inlineStr"/>
      <c r="P333" s="14" t="n">
        <v>255.3984782608696</v>
      </c>
      <c r="Q333" s="14" t="n">
        <v>234.9666</v>
      </c>
      <c r="R333" s="62" t="n">
        <v>0.9292929292929294</v>
      </c>
    </row>
    <row r="334">
      <c r="A334" s="64" t="n">
        <v>17</v>
      </c>
      <c r="B334" s="64" t="n">
        <v>10</v>
      </c>
      <c r="C334" s="64" t="inlineStr">
        <is>
          <t>RESEAL VALVES</t>
        </is>
      </c>
      <c r="D334" s="64" t="inlineStr">
        <is>
          <t>01643-31232</t>
        </is>
      </c>
      <c r="E334" s="64" t="inlineStr">
        <is>
          <t>WASHER P60</t>
        </is>
      </c>
      <c r="F334" s="65" t="n">
        <v>12</v>
      </c>
      <c r="G334" s="66" t="n">
        <v>0.83</v>
      </c>
      <c r="H334" s="66" t="n">
        <v>9.960000000000001</v>
      </c>
      <c r="I334" s="66" t="n">
        <v>0.6583172584635023</v>
      </c>
      <c r="J334" s="66" t="n">
        <v>7.899807101562028</v>
      </c>
      <c r="K334" s="66" t="n">
        <v>0.7635999999999999</v>
      </c>
      <c r="L334" s="66" t="n">
        <v>9.163200000000002</v>
      </c>
      <c r="M334" s="67" t="n">
        <v>1.263392898437973</v>
      </c>
      <c r="N334" s="68" t="inlineStr">
        <is>
          <t>MATCH</t>
        </is>
      </c>
      <c r="O334" s="64" t="inlineStr"/>
      <c r="P334" s="66" t="n">
        <v>1.022282608695652</v>
      </c>
      <c r="Q334" s="66" t="n">
        <v>0.9405</v>
      </c>
      <c r="R334" s="69" t="n">
        <v>0.8119085592769802</v>
      </c>
    </row>
    <row r="335">
      <c r="A335" s="64" t="n">
        <v>17</v>
      </c>
      <c r="B335" s="64" t="n">
        <v>10</v>
      </c>
      <c r="C335" s="64" t="inlineStr">
        <is>
          <t>RESEAL VALVES</t>
        </is>
      </c>
      <c r="D335" s="64" t="inlineStr">
        <is>
          <t>02896-11008</t>
        </is>
      </c>
      <c r="E335" s="64" t="inlineStr">
        <is>
          <t>O-RING P60</t>
        </is>
      </c>
      <c r="F335" s="65" t="n">
        <v>2</v>
      </c>
      <c r="G335" s="66" t="n">
        <v>1.52</v>
      </c>
      <c r="H335" s="66" t="n">
        <v>3.04</v>
      </c>
      <c r="I335" s="66" t="n">
        <v>1.205593051644004</v>
      </c>
      <c r="J335" s="66" t="n">
        <v>2.411186103288009</v>
      </c>
      <c r="K335" s="66" t="n">
        <v>1.3984</v>
      </c>
      <c r="L335" s="66" t="n">
        <v>2.7968</v>
      </c>
      <c r="M335" s="67" t="n">
        <v>0.3856138967119915</v>
      </c>
      <c r="N335" s="68" t="inlineStr">
        <is>
          <t>MATCH</t>
        </is>
      </c>
      <c r="O335" s="64" t="inlineStr"/>
      <c r="P335" s="66" t="n">
        <v>1.797065217391304</v>
      </c>
      <c r="Q335" s="66" t="n">
        <v>1.6533</v>
      </c>
      <c r="R335" s="69" t="n">
        <v>0.8458235045061393</v>
      </c>
    </row>
    <row r="336">
      <c r="A336" s="64" t="n">
        <v>17</v>
      </c>
      <c r="B336" s="64" t="n">
        <v>10</v>
      </c>
      <c r="C336" s="64" t="inlineStr">
        <is>
          <t>RESEAL VALVES</t>
        </is>
      </c>
      <c r="D336" s="64" t="inlineStr">
        <is>
          <t>02896-11009</t>
        </is>
      </c>
      <c r="E336" s="64" t="inlineStr">
        <is>
          <t>O-RING P60</t>
        </is>
      </c>
      <c r="F336" s="65" t="n">
        <v>4</v>
      </c>
      <c r="G336" s="66" t="n">
        <v>1.59</v>
      </c>
      <c r="H336" s="66" t="n">
        <v>6.36</v>
      </c>
      <c r="I336" s="66" t="n">
        <v>1.261113784285504</v>
      </c>
      <c r="J336" s="66" t="n">
        <v>5.044455137142018</v>
      </c>
      <c r="K336" s="66" t="n">
        <v>1.4628</v>
      </c>
      <c r="L336" s="66" t="n">
        <v>5.8512</v>
      </c>
      <c r="M336" s="67" t="n">
        <v>0.8067448628579825</v>
      </c>
      <c r="N336" s="68" t="inlineStr">
        <is>
          <t>MATCH</t>
        </is>
      </c>
      <c r="O336" s="64" t="inlineStr"/>
      <c r="P336" s="66" t="n">
        <v>1.872391304347826</v>
      </c>
      <c r="Q336" s="66" t="n">
        <v>1.7226</v>
      </c>
      <c r="R336" s="69" t="n">
        <v>0.8491814698711252</v>
      </c>
    </row>
    <row r="337">
      <c r="A337" s="64" t="n">
        <v>17</v>
      </c>
      <c r="B337" s="64" t="n">
        <v>10</v>
      </c>
      <c r="C337" s="64" t="inlineStr">
        <is>
          <t>RESEAL VALVES</t>
        </is>
      </c>
      <c r="D337" s="64" t="inlineStr">
        <is>
          <t>02896-11018</t>
        </is>
      </c>
      <c r="E337" s="64" t="inlineStr">
        <is>
          <t>O-RING</t>
        </is>
      </c>
      <c r="F337" s="65" t="n">
        <v>2</v>
      </c>
      <c r="G337" s="66" t="n">
        <v>1.48</v>
      </c>
      <c r="H337" s="66" t="n">
        <v>2.96</v>
      </c>
      <c r="I337" s="66" t="n">
        <v>1.173866918706004</v>
      </c>
      <c r="J337" s="66" t="n">
        <v>2.347733837412008</v>
      </c>
      <c r="K337" s="66" t="n">
        <v>1.3616</v>
      </c>
      <c r="L337" s="66" t="n">
        <v>2.7232</v>
      </c>
      <c r="M337" s="67" t="n">
        <v>0.3754661625879923</v>
      </c>
      <c r="N337" s="68" t="inlineStr">
        <is>
          <t>MATCH</t>
        </is>
      </c>
      <c r="O337" s="64" t="inlineStr"/>
      <c r="P337" s="66" t="n">
        <v>1.764782608695652</v>
      </c>
      <c r="Q337" s="66" t="n">
        <v>1.6236</v>
      </c>
      <c r="R337" s="69" t="n">
        <v>0.8386302044838632</v>
      </c>
    </row>
    <row r="338">
      <c r="A338" s="64" t="n">
        <v>17</v>
      </c>
      <c r="B338" s="64" t="n">
        <v>10</v>
      </c>
      <c r="C338" s="64" t="inlineStr">
        <is>
          <t>RESEAL VALVES</t>
        </is>
      </c>
      <c r="D338" s="64" t="inlineStr">
        <is>
          <t>02896-21009</t>
        </is>
      </c>
      <c r="E338" s="64" t="inlineStr">
        <is>
          <t>O-RING P60</t>
        </is>
      </c>
      <c r="F338" s="65" t="n">
        <v>26</v>
      </c>
      <c r="G338" s="66" t="n">
        <v>6.26</v>
      </c>
      <c r="H338" s="66" t="n">
        <v>162.76</v>
      </c>
      <c r="I338" s="66" t="n">
        <v>4.965139804797017</v>
      </c>
      <c r="J338" s="66" t="n">
        <v>129.0936349247224</v>
      </c>
      <c r="K338" s="66" t="n">
        <v>5.7592</v>
      </c>
      <c r="L338" s="66" t="n">
        <v>149.7392</v>
      </c>
      <c r="M338" s="67" t="n">
        <v>20.64556507527757</v>
      </c>
      <c r="N338" s="68" t="inlineStr">
        <is>
          <t>MATCH</t>
        </is>
      </c>
      <c r="O338" s="64" t="inlineStr"/>
      <c r="P338" s="66" t="n">
        <v>7.392717391304348</v>
      </c>
      <c r="Q338" s="66" t="n">
        <v>6.8013</v>
      </c>
      <c r="R338" s="69" t="n">
        <v>0.8467792921941393</v>
      </c>
    </row>
    <row r="339">
      <c r="A339" s="64" t="n">
        <v>17</v>
      </c>
      <c r="B339" s="64" t="n">
        <v>10</v>
      </c>
      <c r="C339" s="64" t="inlineStr">
        <is>
          <t>RESEAL VALVES</t>
        </is>
      </c>
      <c r="D339" s="64" t="inlineStr">
        <is>
          <t>07000-12011</t>
        </is>
      </c>
      <c r="E339" s="64" t="inlineStr">
        <is>
          <t>O-RING P60</t>
        </is>
      </c>
      <c r="F339" s="65" t="n">
        <v>1</v>
      </c>
      <c r="G339" s="66" t="n">
        <v>1.1</v>
      </c>
      <c r="H339" s="66" t="n">
        <v>1.1</v>
      </c>
      <c r="I339" s="66" t="n">
        <v>0.8724686557950031</v>
      </c>
      <c r="J339" s="66" t="n">
        <v>0.8724686557950031</v>
      </c>
      <c r="K339" s="66" t="n">
        <v>1.012</v>
      </c>
      <c r="L339" s="66" t="n">
        <v>1.012</v>
      </c>
      <c r="M339" s="67" t="n">
        <v>0.1395313442049971</v>
      </c>
      <c r="N339" s="68" t="inlineStr">
        <is>
          <t>MATCH</t>
        </is>
      </c>
      <c r="O339" s="64" t="inlineStr"/>
      <c r="P339" s="66" t="n">
        <v>1.215978260869565</v>
      </c>
      <c r="Q339" s="66" t="n">
        <v>1.1187</v>
      </c>
      <c r="R339" s="69" t="n">
        <v>0.9046214355948871</v>
      </c>
    </row>
    <row r="340">
      <c r="A340" s="64" t="n">
        <v>17</v>
      </c>
      <c r="B340" s="64" t="n">
        <v>10</v>
      </c>
      <c r="C340" s="64" t="inlineStr">
        <is>
          <t>RESEAL VALVES</t>
        </is>
      </c>
      <c r="D340" s="64" t="inlineStr">
        <is>
          <t>07000-12016</t>
        </is>
      </c>
      <c r="E340" s="64" t="inlineStr">
        <is>
          <t>O-RING P60</t>
        </is>
      </c>
      <c r="F340" s="65" t="n">
        <v>2</v>
      </c>
      <c r="G340" s="66" t="n">
        <v>1.12</v>
      </c>
      <c r="H340" s="66" t="n">
        <v>2.24</v>
      </c>
      <c r="I340" s="66" t="n">
        <v>0.8883317222640031</v>
      </c>
      <c r="J340" s="66" t="n">
        <v>1.776663444528006</v>
      </c>
      <c r="K340" s="66" t="n">
        <v>1.0304</v>
      </c>
      <c r="L340" s="66" t="n">
        <v>2.0608</v>
      </c>
      <c r="M340" s="67" t="n">
        <v>0.2841365554719941</v>
      </c>
      <c r="N340" s="68" t="inlineStr">
        <is>
          <t>MATCH</t>
        </is>
      </c>
      <c r="O340" s="64" t="inlineStr"/>
      <c r="P340" s="66" t="n">
        <v>1.226739130434782</v>
      </c>
      <c r="Q340" s="66" t="n">
        <v>1.1286</v>
      </c>
      <c r="R340" s="69" t="n">
        <v>0.9129895445684922</v>
      </c>
    </row>
    <row r="341">
      <c r="A341" s="64" t="n">
        <v>17</v>
      </c>
      <c r="B341" s="64" t="n">
        <v>10</v>
      </c>
      <c r="C341" s="64" t="inlineStr">
        <is>
          <t>RESEAL VALVES</t>
        </is>
      </c>
      <c r="D341" s="64" t="inlineStr">
        <is>
          <t>07000-12018</t>
        </is>
      </c>
      <c r="E341" s="64" t="inlineStr">
        <is>
          <t>O-RING</t>
        </is>
      </c>
      <c r="F341" s="65" t="n">
        <v>2</v>
      </c>
      <c r="G341" s="66" t="n">
        <v>1.06</v>
      </c>
      <c r="H341" s="66" t="n">
        <v>2.12</v>
      </c>
      <c r="I341" s="66" t="n">
        <v>0.840742522857003</v>
      </c>
      <c r="J341" s="66" t="n">
        <v>1.681485045714006</v>
      </c>
      <c r="K341" s="66" t="n">
        <v>0.9752000000000001</v>
      </c>
      <c r="L341" s="66" t="n">
        <v>1.9504</v>
      </c>
      <c r="M341" s="67" t="n">
        <v>0.2689149542859941</v>
      </c>
      <c r="N341" s="68" t="inlineStr">
        <is>
          <t>MATCH</t>
        </is>
      </c>
      <c r="O341" s="64" t="inlineStr"/>
      <c r="P341" s="66" t="n">
        <v>1.162173913043478</v>
      </c>
      <c r="Q341" s="66" t="n">
        <v>1.0692</v>
      </c>
      <c r="R341" s="69" t="n">
        <v>0.9120838009726899</v>
      </c>
    </row>
    <row r="342">
      <c r="A342" s="64" t="n">
        <v>17</v>
      </c>
      <c r="B342" s="64" t="n">
        <v>10</v>
      </c>
      <c r="C342" s="64" t="inlineStr">
        <is>
          <t>RESEAL VALVES</t>
        </is>
      </c>
      <c r="D342" s="64" t="inlineStr">
        <is>
          <t>07000-12060</t>
        </is>
      </c>
      <c r="E342" s="64" t="inlineStr">
        <is>
          <t>O-RING</t>
        </is>
      </c>
      <c r="F342" s="65" t="n">
        <v>4</v>
      </c>
      <c r="G342" s="66" t="n">
        <v>3.3</v>
      </c>
      <c r="H342" s="66" t="n">
        <v>13.18</v>
      </c>
      <c r="I342" s="66" t="n">
        <v>2.617405967385009</v>
      </c>
      <c r="J342" s="66" t="n">
        <v>10.45376080307104</v>
      </c>
      <c r="K342" s="66" t="n">
        <v>3.036</v>
      </c>
      <c r="L342" s="66" t="n">
        <v>12.1256</v>
      </c>
      <c r="M342" s="67" t="n">
        <v>1.671839196928964</v>
      </c>
      <c r="N342" s="68" t="inlineStr">
        <is>
          <t>MATCH</t>
        </is>
      </c>
      <c r="O342" s="64" t="inlineStr"/>
      <c r="P342" s="66" t="n">
        <v>3.820108695652173</v>
      </c>
      <c r="Q342" s="66" t="n">
        <v>3.5145</v>
      </c>
      <c r="R342" s="69" t="n">
        <v>0.863849765258216</v>
      </c>
    </row>
    <row r="343">
      <c r="A343" s="64" t="n">
        <v>17</v>
      </c>
      <c r="B343" s="64" t="n">
        <v>10</v>
      </c>
      <c r="C343" s="64" t="inlineStr">
        <is>
          <t>RESEAL VALVES</t>
        </is>
      </c>
      <c r="D343" s="64" t="inlineStr">
        <is>
          <t>07000-12065</t>
        </is>
      </c>
      <c r="E343" s="64" t="inlineStr">
        <is>
          <t>O-RING P60</t>
        </is>
      </c>
      <c r="F343" s="65" t="n">
        <v>8</v>
      </c>
      <c r="G343" s="66" t="n">
        <v>3.8</v>
      </c>
      <c r="H343" s="66" t="n">
        <v>30.4</v>
      </c>
      <c r="I343" s="66" t="n">
        <v>3.01398262911001</v>
      </c>
      <c r="J343" s="66" t="n">
        <v>24.11186103288008</v>
      </c>
      <c r="K343" s="66" t="n">
        <v>3.496</v>
      </c>
      <c r="L343" s="66" t="n">
        <v>27.968</v>
      </c>
      <c r="M343" s="67" t="n">
        <v>3.856138967119918</v>
      </c>
      <c r="N343" s="68" t="inlineStr">
        <is>
          <t>MATCH</t>
        </is>
      </c>
      <c r="O343" s="64" t="inlineStr"/>
      <c r="P343" s="66" t="n">
        <v>4.196739130434782</v>
      </c>
      <c r="Q343" s="66" t="n">
        <v>3.861</v>
      </c>
      <c r="R343" s="69" t="n">
        <v>0.9054649054649055</v>
      </c>
    </row>
    <row r="344">
      <c r="A344" s="64" t="n">
        <v>17</v>
      </c>
      <c r="B344" s="64" t="n">
        <v>10</v>
      </c>
      <c r="C344" s="64" t="inlineStr">
        <is>
          <t>RESEAL VALVES</t>
        </is>
      </c>
      <c r="D344" s="64" t="inlineStr">
        <is>
          <t>07000-12085</t>
        </is>
      </c>
      <c r="E344" s="64" t="inlineStr">
        <is>
          <t>O-RING</t>
        </is>
      </c>
      <c r="F344" s="65" t="n">
        <v>3</v>
      </c>
      <c r="G344" s="66" t="n">
        <v>3.88</v>
      </c>
      <c r="H344" s="66" t="n">
        <v>11.64</v>
      </c>
      <c r="I344" s="66" t="n">
        <v>3.077434894986011</v>
      </c>
      <c r="J344" s="66" t="n">
        <v>9.232304684958033</v>
      </c>
      <c r="K344" s="66" t="n">
        <v>3.5696</v>
      </c>
      <c r="L344" s="66" t="n">
        <v>10.7088</v>
      </c>
      <c r="M344" s="67" t="n">
        <v>1.476495315041969</v>
      </c>
      <c r="N344" s="68" t="inlineStr">
        <is>
          <t>MATCH</t>
        </is>
      </c>
      <c r="O344" s="64" t="inlineStr"/>
      <c r="P344" s="66" t="n">
        <v>4.756304347826086</v>
      </c>
      <c r="Q344" s="66" t="n">
        <v>4.3758</v>
      </c>
      <c r="R344" s="69" t="n">
        <v>0.8157594039946983</v>
      </c>
    </row>
    <row r="345">
      <c r="A345" s="64" t="n">
        <v>17</v>
      </c>
      <c r="B345" s="64" t="n">
        <v>10</v>
      </c>
      <c r="C345" s="64" t="inlineStr">
        <is>
          <t>RESEAL VALVES</t>
        </is>
      </c>
      <c r="D345" s="64" t="inlineStr">
        <is>
          <t>07000-13032</t>
        </is>
      </c>
      <c r="E345" s="64" t="inlineStr">
        <is>
          <t>O-RING</t>
        </is>
      </c>
      <c r="F345" s="65" t="n">
        <v>2</v>
      </c>
      <c r="G345" s="66" t="n">
        <v>2.82</v>
      </c>
      <c r="H345" s="66" t="n">
        <v>5.64</v>
      </c>
      <c r="I345" s="66" t="n">
        <v>2.236692372129008</v>
      </c>
      <c r="J345" s="66" t="n">
        <v>4.473384744258015</v>
      </c>
      <c r="K345" s="66" t="n">
        <v>2.5944</v>
      </c>
      <c r="L345" s="66" t="n">
        <v>5.1888</v>
      </c>
      <c r="M345" s="67" t="n">
        <v>0.7154152557419842</v>
      </c>
      <c r="N345" s="68" t="inlineStr">
        <is>
          <t>MATCH</t>
        </is>
      </c>
      <c r="O345" s="64" t="inlineStr"/>
      <c r="P345" s="66" t="n">
        <v>3.109891304347826</v>
      </c>
      <c r="Q345" s="66" t="n">
        <v>2.8611</v>
      </c>
      <c r="R345" s="69" t="n">
        <v>0.906784104015938</v>
      </c>
    </row>
    <row r="346">
      <c r="A346" s="64" t="n">
        <v>17</v>
      </c>
      <c r="B346" s="64" t="n">
        <v>10</v>
      </c>
      <c r="C346" s="64" t="inlineStr">
        <is>
          <t>RESEAL VALVES</t>
        </is>
      </c>
      <c r="D346" s="64" t="inlineStr">
        <is>
          <t>07000-13038</t>
        </is>
      </c>
      <c r="E346" s="64" t="inlineStr">
        <is>
          <t>O-RING</t>
        </is>
      </c>
      <c r="F346" s="65" t="n">
        <v>2</v>
      </c>
      <c r="G346" s="66" t="n">
        <v>1.73</v>
      </c>
      <c r="H346" s="66" t="n">
        <v>3.46</v>
      </c>
      <c r="I346" s="66" t="n">
        <v>1.372155249568505</v>
      </c>
      <c r="J346" s="66" t="n">
        <v>2.74431049913701</v>
      </c>
      <c r="K346" s="66" t="n">
        <v>1.5916</v>
      </c>
      <c r="L346" s="66" t="n">
        <v>3.1832</v>
      </c>
      <c r="M346" s="67" t="n">
        <v>0.4388895008629907</v>
      </c>
      <c r="N346" s="68" t="inlineStr">
        <is>
          <t>MATCH</t>
        </is>
      </c>
      <c r="O346" s="64" t="inlineStr"/>
      <c r="P346" s="66" t="n">
        <v>2.119891304347826</v>
      </c>
      <c r="Q346" s="66" t="n">
        <v>1.9503</v>
      </c>
      <c r="R346" s="69" t="n">
        <v>0.8160795775008973</v>
      </c>
    </row>
    <row r="347">
      <c r="A347" s="64" t="n">
        <v>17</v>
      </c>
      <c r="B347" s="64" t="n">
        <v>10</v>
      </c>
      <c r="C347" s="64" t="inlineStr">
        <is>
          <t>RESEAL VALVES</t>
        </is>
      </c>
      <c r="D347" s="64" t="inlineStr">
        <is>
          <t>07000-13042</t>
        </is>
      </c>
      <c r="E347" s="64" t="inlineStr">
        <is>
          <t>O-RING</t>
        </is>
      </c>
      <c r="F347" s="65" t="n">
        <v>2</v>
      </c>
      <c r="G347" s="66" t="n">
        <v>3.01</v>
      </c>
      <c r="H347" s="66" t="n">
        <v>6.02</v>
      </c>
      <c r="I347" s="66" t="n">
        <v>2.387391503584508</v>
      </c>
      <c r="J347" s="66" t="n">
        <v>4.774783007169017</v>
      </c>
      <c r="K347" s="66" t="n">
        <v>2.7692</v>
      </c>
      <c r="L347" s="66" t="n">
        <v>5.5384</v>
      </c>
      <c r="M347" s="67" t="n">
        <v>0.7636169928309835</v>
      </c>
      <c r="N347" s="68" t="inlineStr">
        <is>
          <t>MATCH</t>
        </is>
      </c>
      <c r="O347" s="64" t="inlineStr"/>
      <c r="P347" s="66" t="n">
        <v>3.680217391304347</v>
      </c>
      <c r="Q347" s="66" t="n">
        <v>3.3858</v>
      </c>
      <c r="R347" s="69" t="n">
        <v>0.817886467009274</v>
      </c>
    </row>
    <row r="348">
      <c r="A348" s="64" t="n">
        <v>17</v>
      </c>
      <c r="B348" s="64" t="n">
        <v>10</v>
      </c>
      <c r="C348" s="64" t="inlineStr">
        <is>
          <t>RESEAL VALVES</t>
        </is>
      </c>
      <c r="D348" s="64" t="inlineStr">
        <is>
          <t>07000-13045</t>
        </is>
      </c>
      <c r="E348" s="64" t="inlineStr">
        <is>
          <t>O-RING P60</t>
        </is>
      </c>
      <c r="F348" s="65" t="n">
        <v>3</v>
      </c>
      <c r="G348" s="66" t="n">
        <v>3.11</v>
      </c>
      <c r="H348" s="66" t="n">
        <v>9.33</v>
      </c>
      <c r="I348" s="66" t="n">
        <v>2.466706835929509</v>
      </c>
      <c r="J348" s="66" t="n">
        <v>7.400120507788526</v>
      </c>
      <c r="K348" s="66" t="n">
        <v>2.8612</v>
      </c>
      <c r="L348" s="66" t="n">
        <v>8.583600000000001</v>
      </c>
      <c r="M348" s="67" t="n">
        <v>1.183479492211474</v>
      </c>
      <c r="N348" s="68" t="inlineStr">
        <is>
          <t>MATCH</t>
        </is>
      </c>
      <c r="O348" s="64" t="inlineStr"/>
      <c r="P348" s="66" t="n">
        <v>3.809347826086956</v>
      </c>
      <c r="Q348" s="66" t="n">
        <v>3.5046</v>
      </c>
      <c r="R348" s="69" t="n">
        <v>0.8164127147177994</v>
      </c>
    </row>
    <row r="349">
      <c r="A349" s="64" t="n">
        <v>17</v>
      </c>
      <c r="B349" s="64" t="n">
        <v>10</v>
      </c>
      <c r="C349" s="64" t="inlineStr">
        <is>
          <t>RESEAL VALVES</t>
        </is>
      </c>
      <c r="D349" s="64" t="inlineStr">
        <is>
          <t>07000-13048</t>
        </is>
      </c>
      <c r="E349" s="64" t="inlineStr">
        <is>
          <t>O-RING</t>
        </is>
      </c>
      <c r="F349" s="65" t="n">
        <v>7</v>
      </c>
      <c r="G349" s="66" t="n">
        <v>3.55</v>
      </c>
      <c r="H349" s="66" t="n">
        <v>24.85</v>
      </c>
      <c r="I349" s="66" t="n">
        <v>2.81569429824751</v>
      </c>
      <c r="J349" s="66" t="n">
        <v>19.70986008773257</v>
      </c>
      <c r="K349" s="66" t="n">
        <v>3.266</v>
      </c>
      <c r="L349" s="66" t="n">
        <v>22.862</v>
      </c>
      <c r="M349" s="67" t="n">
        <v>3.152139912267433</v>
      </c>
      <c r="N349" s="68" t="inlineStr">
        <is>
          <t>MATCH</t>
        </is>
      </c>
      <c r="O349" s="64" t="inlineStr"/>
      <c r="P349" s="66" t="n">
        <v>3.91695652173913</v>
      </c>
      <c r="Q349" s="66" t="n">
        <v>3.6036</v>
      </c>
      <c r="R349" s="69" t="n">
        <v>0.9063159063159063</v>
      </c>
    </row>
    <row r="350">
      <c r="A350" s="64" t="n">
        <v>17</v>
      </c>
      <c r="B350" s="64" t="n">
        <v>10</v>
      </c>
      <c r="C350" s="64" t="inlineStr">
        <is>
          <t>RESEAL VALVES</t>
        </is>
      </c>
      <c r="D350" s="64" t="inlineStr">
        <is>
          <t>07000-15140</t>
        </is>
      </c>
      <c r="E350" s="64" t="inlineStr">
        <is>
          <t>O-RING</t>
        </is>
      </c>
      <c r="F350" s="65" t="n">
        <v>4</v>
      </c>
      <c r="G350" s="66" t="n">
        <v>8.859999999999999</v>
      </c>
      <c r="H350" s="66" t="n">
        <v>35.44</v>
      </c>
      <c r="I350" s="66" t="n">
        <v>7.027338445767024</v>
      </c>
      <c r="J350" s="66" t="n">
        <v>28.1093537830681</v>
      </c>
      <c r="K350" s="66" t="n">
        <v>8.151199999999999</v>
      </c>
      <c r="L350" s="66" t="n">
        <v>32.6048</v>
      </c>
      <c r="M350" s="67" t="n">
        <v>4.495446216931899</v>
      </c>
      <c r="N350" s="68" t="inlineStr">
        <is>
          <t>MATCH</t>
        </is>
      </c>
      <c r="O350" s="64" t="inlineStr"/>
      <c r="P350" s="66" t="n">
        <v>10.86847826086956</v>
      </c>
      <c r="Q350" s="66" t="n">
        <v>9.998999999999999</v>
      </c>
      <c r="R350" s="69" t="n">
        <v>0.8152015201520153</v>
      </c>
    </row>
    <row r="351">
      <c r="A351" s="64" t="n">
        <v>17</v>
      </c>
      <c r="B351" s="64" t="n">
        <v>10</v>
      </c>
      <c r="C351" s="64" t="inlineStr">
        <is>
          <t>RESEAL VALVES</t>
        </is>
      </c>
      <c r="D351" s="64" t="inlineStr">
        <is>
          <t>07000-E3048</t>
        </is>
      </c>
      <c r="E351" s="64" t="inlineStr">
        <is>
          <t>O-RING</t>
        </is>
      </c>
      <c r="F351" s="65" t="n">
        <v>1</v>
      </c>
      <c r="G351" s="66" t="n">
        <v>20.04</v>
      </c>
      <c r="H351" s="66" t="n">
        <v>20.04</v>
      </c>
      <c r="I351" s="66" t="n">
        <v>15.89479260193806</v>
      </c>
      <c r="J351" s="66" t="n">
        <v>15.89479260193806</v>
      </c>
      <c r="K351" s="66" t="n">
        <v>18.4368</v>
      </c>
      <c r="L351" s="66" t="n">
        <v>18.4368</v>
      </c>
      <c r="M351" s="67" t="n">
        <v>2.542007398061946</v>
      </c>
      <c r="N351" s="68" t="inlineStr">
        <is>
          <t>MATCH</t>
        </is>
      </c>
      <c r="O351" s="64" t="inlineStr"/>
      <c r="P351" s="66" t="n">
        <v>23.68467391304348</v>
      </c>
      <c r="Q351" s="66" t="n">
        <v>21.7899</v>
      </c>
      <c r="R351" s="69" t="n">
        <v>0.8461167788746161</v>
      </c>
    </row>
    <row r="352">
      <c r="A352" s="64" t="n">
        <v>17</v>
      </c>
      <c r="B352" s="64" t="n">
        <v>10</v>
      </c>
      <c r="C352" s="64" t="inlineStr">
        <is>
          <t>RESEAL VALVES</t>
        </is>
      </c>
      <c r="D352" s="64" t="inlineStr">
        <is>
          <t>07000-F2014</t>
        </is>
      </c>
      <c r="E352" s="64" t="inlineStr">
        <is>
          <t>O-RING</t>
        </is>
      </c>
      <c r="F352" s="65" t="n">
        <v>1</v>
      </c>
      <c r="G352" s="66" t="n">
        <v>6.26</v>
      </c>
      <c r="H352" s="66" t="n">
        <v>6.26</v>
      </c>
      <c r="I352" s="66" t="n">
        <v>4.965139804797017</v>
      </c>
      <c r="J352" s="66" t="n">
        <v>4.965139804797017</v>
      </c>
      <c r="K352" s="66" t="n">
        <v>5.7592</v>
      </c>
      <c r="L352" s="66" t="n">
        <v>5.7592</v>
      </c>
      <c r="M352" s="67" t="n">
        <v>0.7940601952029827</v>
      </c>
      <c r="N352" s="68" t="inlineStr">
        <is>
          <t>MATCH</t>
        </is>
      </c>
      <c r="O352" s="64" t="inlineStr"/>
      <c r="P352" s="66" t="n">
        <v>7.392717391304348</v>
      </c>
      <c r="Q352" s="66" t="n">
        <v>6.8013</v>
      </c>
      <c r="R352" s="69" t="n">
        <v>0.8467792921941393</v>
      </c>
    </row>
    <row r="353">
      <c r="A353" s="64" t="n">
        <v>17</v>
      </c>
      <c r="B353" s="64" t="n">
        <v>10</v>
      </c>
      <c r="C353" s="64" t="inlineStr">
        <is>
          <t>RESEAL VALVES</t>
        </is>
      </c>
      <c r="D353" s="64" t="inlineStr">
        <is>
          <t>07000-F2018</t>
        </is>
      </c>
      <c r="E353" s="64" t="inlineStr">
        <is>
          <t>O-RING</t>
        </is>
      </c>
      <c r="F353" s="65" t="n">
        <v>2</v>
      </c>
      <c r="G353" s="66" t="n">
        <v>6.26</v>
      </c>
      <c r="H353" s="66" t="n">
        <v>12.52</v>
      </c>
      <c r="I353" s="66" t="n">
        <v>4.965139804797017</v>
      </c>
      <c r="J353" s="66" t="n">
        <v>9.930279609594034</v>
      </c>
      <c r="K353" s="66" t="n">
        <v>5.7592</v>
      </c>
      <c r="L353" s="66" t="n">
        <v>11.5184</v>
      </c>
      <c r="M353" s="67" t="n">
        <v>1.588120390405965</v>
      </c>
      <c r="N353" s="68" t="inlineStr">
        <is>
          <t>MATCH</t>
        </is>
      </c>
      <c r="O353" s="64" t="inlineStr"/>
      <c r="P353" s="66" t="n">
        <v>7.392717391304348</v>
      </c>
      <c r="Q353" s="66" t="n">
        <v>6.8013</v>
      </c>
      <c r="R353" s="69" t="n">
        <v>0.8467792921941393</v>
      </c>
    </row>
    <row r="354">
      <c r="A354" s="64" t="n">
        <v>17</v>
      </c>
      <c r="B354" s="64" t="n">
        <v>10</v>
      </c>
      <c r="C354" s="64" t="inlineStr">
        <is>
          <t>RESEAL VALVES</t>
        </is>
      </c>
      <c r="D354" s="64" t="inlineStr">
        <is>
          <t>07000-F2055</t>
        </is>
      </c>
      <c r="E354" s="64" t="inlineStr">
        <is>
          <t>O-RING P60</t>
        </is>
      </c>
      <c r="F354" s="65" t="n">
        <v>9</v>
      </c>
      <c r="G354" s="66" t="n">
        <v>14.08</v>
      </c>
      <c r="H354" s="66" t="n">
        <v>126.69</v>
      </c>
      <c r="I354" s="66" t="n">
        <v>11.16759879417604</v>
      </c>
      <c r="J354" s="66" t="n">
        <v>100.4845945478808</v>
      </c>
      <c r="K354" s="66" t="n">
        <v>12.9536</v>
      </c>
      <c r="L354" s="66" t="n">
        <v>116.5548</v>
      </c>
      <c r="M354" s="67" t="n">
        <v>16.07020545211915</v>
      </c>
      <c r="N354" s="68" t="inlineStr">
        <is>
          <t>MATCH</t>
        </is>
      </c>
      <c r="O354" s="64" t="inlineStr"/>
      <c r="P354" s="66" t="n">
        <v>16.24891304347826</v>
      </c>
      <c r="Q354" s="66" t="n">
        <v>14.949</v>
      </c>
      <c r="R354" s="69" t="n">
        <v>0.8665194996320824</v>
      </c>
    </row>
    <row r="355">
      <c r="A355" s="64" t="n">
        <v>17</v>
      </c>
      <c r="B355" s="64" t="n">
        <v>10</v>
      </c>
      <c r="C355" s="64" t="inlineStr">
        <is>
          <t>RESEAL VALVES</t>
        </is>
      </c>
      <c r="D355" s="64" t="inlineStr">
        <is>
          <t>07000-F3035</t>
        </is>
      </c>
      <c r="E355" s="64" t="inlineStr">
        <is>
          <t>O-RING P6</t>
        </is>
      </c>
      <c r="F355" s="65" t="n">
        <v>2</v>
      </c>
      <c r="G355" s="66" t="n">
        <v>13.91</v>
      </c>
      <c r="H355" s="66" t="n">
        <v>27.82</v>
      </c>
      <c r="I355" s="66" t="n">
        <v>11.03276272918954</v>
      </c>
      <c r="J355" s="66" t="n">
        <v>22.06552545837908</v>
      </c>
      <c r="K355" s="66" t="n">
        <v>12.7972</v>
      </c>
      <c r="L355" s="66" t="n">
        <v>25.5944</v>
      </c>
      <c r="M355" s="67" t="n">
        <v>3.528874541620922</v>
      </c>
      <c r="N355" s="68" t="inlineStr">
        <is>
          <t>MATCH</t>
        </is>
      </c>
      <c r="O355" s="64" t="inlineStr"/>
      <c r="P355" s="66" t="n">
        <v>15.33423913043478</v>
      </c>
      <c r="Q355" s="66" t="n">
        <v>14.1075</v>
      </c>
      <c r="R355" s="69" t="n">
        <v>0.9071203260676945</v>
      </c>
    </row>
    <row r="356">
      <c r="A356" s="64" t="n">
        <v>17</v>
      </c>
      <c r="B356" s="64" t="n">
        <v>10</v>
      </c>
      <c r="C356" s="64" t="inlineStr">
        <is>
          <t>RESEAL VALVES</t>
        </is>
      </c>
      <c r="D356" s="64" t="inlineStr">
        <is>
          <t>07000-F3038</t>
        </is>
      </c>
      <c r="E356" s="64" t="inlineStr">
        <is>
          <t>O-RING P60</t>
        </is>
      </c>
      <c r="F356" s="65" t="n">
        <v>8</v>
      </c>
      <c r="G356" s="66" t="n">
        <v>13.59</v>
      </c>
      <c r="H356" s="66" t="n">
        <v>108.72</v>
      </c>
      <c r="I356" s="66" t="n">
        <v>10.77895366568554</v>
      </c>
      <c r="J356" s="66" t="n">
        <v>86.23162932548431</v>
      </c>
      <c r="K356" s="66" t="n">
        <v>12.5028</v>
      </c>
      <c r="L356" s="66" t="n">
        <v>100.0224</v>
      </c>
      <c r="M356" s="67" t="n">
        <v>13.7907706745157</v>
      </c>
      <c r="N356" s="68" t="inlineStr">
        <is>
          <t>MATCH</t>
        </is>
      </c>
      <c r="O356" s="64" t="inlineStr"/>
      <c r="P356" s="66" t="n">
        <v>14.98989130434783</v>
      </c>
      <c r="Q356" s="66" t="n">
        <v>13.7907</v>
      </c>
      <c r="R356" s="69" t="n">
        <v>0.9066109769627358</v>
      </c>
    </row>
    <row r="357">
      <c r="A357" s="64" t="n">
        <v>17</v>
      </c>
      <c r="B357" s="64" t="n">
        <v>10</v>
      </c>
      <c r="C357" s="64" t="inlineStr">
        <is>
          <t>RESEAL VALVES</t>
        </is>
      </c>
      <c r="D357" s="64" t="inlineStr">
        <is>
          <t>07000-F3042</t>
        </is>
      </c>
      <c r="E357" s="64" t="inlineStr">
        <is>
          <t>O-RING</t>
        </is>
      </c>
      <c r="F357" s="65" t="n">
        <v>11</v>
      </c>
      <c r="G357" s="66" t="n">
        <v>17.91</v>
      </c>
      <c r="H357" s="66" t="n">
        <v>197</v>
      </c>
      <c r="I357" s="66" t="n">
        <v>14.20537602298955</v>
      </c>
      <c r="J357" s="66" t="n">
        <v>156.2512047196506</v>
      </c>
      <c r="K357" s="66" t="n">
        <v>16.4772</v>
      </c>
      <c r="L357" s="66" t="n">
        <v>181.24</v>
      </c>
      <c r="M357" s="67" t="n">
        <v>24.98879528034945</v>
      </c>
      <c r="N357" s="68" t="inlineStr">
        <is>
          <t>MATCH</t>
        </is>
      </c>
      <c r="O357" s="64" t="inlineStr"/>
      <c r="P357" s="66" t="n">
        <v>22.35032608695652</v>
      </c>
      <c r="Q357" s="66" t="n">
        <v>20.5623</v>
      </c>
      <c r="R357" s="69" t="n">
        <v>0.801330590449512</v>
      </c>
    </row>
    <row r="358">
      <c r="A358" s="64" t="n">
        <v>17</v>
      </c>
      <c r="B358" s="64" t="n">
        <v>10</v>
      </c>
      <c r="C358" s="64" t="inlineStr">
        <is>
          <t>RESEAL VALVES</t>
        </is>
      </c>
      <c r="D358" s="64" t="inlineStr">
        <is>
          <t>07000-F3045</t>
        </is>
      </c>
      <c r="E358" s="64" t="inlineStr">
        <is>
          <t>O-RING P60</t>
        </is>
      </c>
      <c r="F358" s="65" t="n">
        <v>10</v>
      </c>
      <c r="G358" s="66" t="n">
        <v>13.77</v>
      </c>
      <c r="H358" s="66" t="n">
        <v>137.68</v>
      </c>
      <c r="I358" s="66" t="n">
        <v>10.92172126390654</v>
      </c>
      <c r="J358" s="66" t="n">
        <v>109.2013495725964</v>
      </c>
      <c r="K358" s="66" t="n">
        <v>12.6684</v>
      </c>
      <c r="L358" s="66" t="n">
        <v>126.6656</v>
      </c>
      <c r="M358" s="67" t="n">
        <v>17.46425042740363</v>
      </c>
      <c r="N358" s="68" t="inlineStr">
        <is>
          <t>MATCH</t>
        </is>
      </c>
      <c r="O358" s="64" t="inlineStr"/>
      <c r="P358" s="66" t="n">
        <v>16.16282608695652</v>
      </c>
      <c r="Q358" s="66" t="n">
        <v>14.8698</v>
      </c>
      <c r="R358" s="69" t="n">
        <v>0.8519549691320664</v>
      </c>
    </row>
    <row r="359">
      <c r="A359" s="64" t="n">
        <v>17</v>
      </c>
      <c r="B359" s="64" t="n">
        <v>10</v>
      </c>
      <c r="C359" s="64" t="inlineStr">
        <is>
          <t>RESEAL VALVES</t>
        </is>
      </c>
      <c r="D359" s="64" t="inlineStr">
        <is>
          <t>07000-F3048</t>
        </is>
      </c>
      <c r="E359" s="64" t="inlineStr">
        <is>
          <t>O-RING P</t>
        </is>
      </c>
      <c r="F359" s="65" t="n">
        <v>16</v>
      </c>
      <c r="G359" s="66" t="n">
        <v>14.49</v>
      </c>
      <c r="H359" s="66" t="n">
        <v>231.9</v>
      </c>
      <c r="I359" s="66" t="n">
        <v>11.49279165679054</v>
      </c>
      <c r="J359" s="66" t="n">
        <v>183.9322557080556</v>
      </c>
      <c r="K359" s="66" t="n">
        <v>13.3308</v>
      </c>
      <c r="L359" s="66" t="n">
        <v>213.348</v>
      </c>
      <c r="M359" s="67" t="n">
        <v>29.41574429194438</v>
      </c>
      <c r="N359" s="68" t="inlineStr">
        <is>
          <t>MATCH</t>
        </is>
      </c>
      <c r="O359" s="64" t="inlineStr"/>
      <c r="P359" s="66" t="n">
        <v>16.60402173913043</v>
      </c>
      <c r="Q359" s="66" t="n">
        <v>15.2757</v>
      </c>
      <c r="R359" s="69" t="n">
        <v>0.8726801390443648</v>
      </c>
    </row>
    <row r="360">
      <c r="A360" s="64" t="n">
        <v>18</v>
      </c>
      <c r="B360" s="64" t="n">
        <v>10</v>
      </c>
      <c r="C360" s="64" t="inlineStr">
        <is>
          <t>RESEAL VALVES</t>
        </is>
      </c>
      <c r="D360" s="64" t="inlineStr">
        <is>
          <t>07001-02018</t>
        </is>
      </c>
      <c r="E360" s="64" t="inlineStr">
        <is>
          <t>BACK-UP RING</t>
        </is>
      </c>
      <c r="F360" s="65" t="n">
        <v>2</v>
      </c>
      <c r="G360" s="66" t="n">
        <v>9.09</v>
      </c>
      <c r="H360" s="66" t="n">
        <v>18.18</v>
      </c>
      <c r="I360" s="66" t="n">
        <v>7.209763710160525</v>
      </c>
      <c r="J360" s="66" t="n">
        <v>14.41952742032105</v>
      </c>
      <c r="K360" s="66" t="n">
        <v>8.3628</v>
      </c>
      <c r="L360" s="66" t="n">
        <v>16.7256</v>
      </c>
      <c r="M360" s="67" t="n">
        <v>2.306072579678951</v>
      </c>
      <c r="N360" s="68" t="inlineStr">
        <is>
          <t>MATCH</t>
        </is>
      </c>
      <c r="O360" s="64" t="inlineStr"/>
      <c r="P360" s="66" t="n">
        <v>10.02913043478261</v>
      </c>
      <c r="Q360" s="66" t="n">
        <v>9.226800000000001</v>
      </c>
      <c r="R360" s="69" t="n">
        <v>0.9063597346859149</v>
      </c>
    </row>
    <row r="361">
      <c r="A361" s="64" t="n">
        <v>18</v>
      </c>
      <c r="B361" s="64" t="n">
        <v>10</v>
      </c>
      <c r="C361" s="64" t="inlineStr">
        <is>
          <t>RESEAL VALVES</t>
        </is>
      </c>
      <c r="D361" s="64" t="inlineStr">
        <is>
          <t>07001-02060</t>
        </is>
      </c>
      <c r="E361" s="64" t="inlineStr">
        <is>
          <t>RING</t>
        </is>
      </c>
      <c r="F361" s="65" t="n">
        <v>2</v>
      </c>
      <c r="G361" s="66" t="n">
        <v>30.46</v>
      </c>
      <c r="H361" s="66" t="n">
        <v>60.92</v>
      </c>
      <c r="I361" s="66" t="n">
        <v>24.15945023228709</v>
      </c>
      <c r="J361" s="66" t="n">
        <v>48.31890046457417</v>
      </c>
      <c r="K361" s="66" t="n">
        <v>28.0232</v>
      </c>
      <c r="L361" s="66" t="n">
        <v>56.04640000000001</v>
      </c>
      <c r="M361" s="67" t="n">
        <v>7.727499535425835</v>
      </c>
      <c r="N361" s="68" t="inlineStr">
        <is>
          <t>MATCH</t>
        </is>
      </c>
      <c r="O361" s="64" t="inlineStr"/>
      <c r="P361" s="66" t="n">
        <v>37.32945652173913</v>
      </c>
      <c r="Q361" s="66" t="n">
        <v>34.3431</v>
      </c>
      <c r="R361" s="69" t="n">
        <v>0.8159775908406639</v>
      </c>
    </row>
    <row r="362">
      <c r="A362" s="64" t="n">
        <v>18</v>
      </c>
      <c r="B362" s="64" t="n">
        <v>10</v>
      </c>
      <c r="C362" s="64" t="inlineStr">
        <is>
          <t>RESEAL VALVES</t>
        </is>
      </c>
      <c r="D362" s="64" t="inlineStr">
        <is>
          <t>07001-03032</t>
        </is>
      </c>
      <c r="E362" s="64" t="inlineStr">
        <is>
          <t>BACK-UP RING</t>
        </is>
      </c>
      <c r="F362" s="65" t="n">
        <v>2</v>
      </c>
      <c r="G362" s="66" t="n">
        <v>20.9</v>
      </c>
      <c r="H362" s="66" t="n">
        <v>41.8</v>
      </c>
      <c r="I362" s="66" t="n">
        <v>16.57690446010506</v>
      </c>
      <c r="J362" s="66" t="n">
        <v>33.15380892021011</v>
      </c>
      <c r="K362" s="66" t="n">
        <v>19.228</v>
      </c>
      <c r="L362" s="66" t="n">
        <v>38.456</v>
      </c>
      <c r="M362" s="67" t="n">
        <v>5.302191079789885</v>
      </c>
      <c r="N362" s="68" t="inlineStr">
        <is>
          <t>MATCH</t>
        </is>
      </c>
      <c r="O362" s="64" t="inlineStr"/>
      <c r="P362" s="66" t="n">
        <v>23.04978260869565</v>
      </c>
      <c r="Q362" s="66" t="n">
        <v>21.2058</v>
      </c>
      <c r="R362" s="69" t="n">
        <v>0.9067330635958087</v>
      </c>
    </row>
    <row r="363">
      <c r="A363" s="64" t="n">
        <v>18</v>
      </c>
      <c r="B363" s="64" t="n">
        <v>10</v>
      </c>
      <c r="C363" s="64" t="inlineStr">
        <is>
          <t>RESEAL VALVES</t>
        </is>
      </c>
      <c r="D363" s="64" t="inlineStr">
        <is>
          <t>07001-05140</t>
        </is>
      </c>
      <c r="E363" s="64" t="inlineStr">
        <is>
          <t>BACK-UP RING</t>
        </is>
      </c>
      <c r="F363" s="65" t="n">
        <v>4</v>
      </c>
      <c r="G363" s="66" t="n">
        <v>63.96</v>
      </c>
      <c r="H363" s="66" t="n">
        <v>255.84</v>
      </c>
      <c r="I363" s="66" t="n">
        <v>50.73008656786218</v>
      </c>
      <c r="J363" s="66" t="n">
        <v>202.9203462714487</v>
      </c>
      <c r="K363" s="66" t="n">
        <v>58.8432</v>
      </c>
      <c r="L363" s="66" t="n">
        <v>235.3728</v>
      </c>
      <c r="M363" s="67" t="n">
        <v>32.45245372855129</v>
      </c>
      <c r="N363" s="68" t="inlineStr">
        <is>
          <t>MATCH</t>
        </is>
      </c>
      <c r="O363" s="64" t="inlineStr"/>
      <c r="P363" s="66" t="n">
        <v>78.38217391304347</v>
      </c>
      <c r="Q363" s="66" t="n">
        <v>72.1116</v>
      </c>
      <c r="R363" s="69" t="n">
        <v>0.8160018637778111</v>
      </c>
    </row>
    <row r="364">
      <c r="A364" s="64" t="n">
        <v>18</v>
      </c>
      <c r="B364" s="64" t="n">
        <v>10</v>
      </c>
      <c r="C364" s="64" t="inlineStr">
        <is>
          <t>RESEAL VALVES</t>
        </is>
      </c>
      <c r="D364" s="64" t="inlineStr">
        <is>
          <t>07002-11423</t>
        </is>
      </c>
      <c r="E364" s="64" t="inlineStr">
        <is>
          <t>O-RING P60</t>
        </is>
      </c>
      <c r="F364" s="65" t="n">
        <v>2</v>
      </c>
      <c r="G364" s="66" t="n">
        <v>1.16</v>
      </c>
      <c r="H364" s="66" t="n">
        <v>2.32</v>
      </c>
      <c r="I364" s="66" t="n">
        <v>0.9200578552020031</v>
      </c>
      <c r="J364" s="66" t="n">
        <v>1.840115710404006</v>
      </c>
      <c r="K364" s="66" t="n">
        <v>1.0672</v>
      </c>
      <c r="L364" s="66" t="n">
        <v>2.1344</v>
      </c>
      <c r="M364" s="67" t="n">
        <v>0.2942842895959936</v>
      </c>
      <c r="N364" s="68" t="inlineStr">
        <is>
          <t>MATCH</t>
        </is>
      </c>
      <c r="O364" s="64" t="inlineStr"/>
      <c r="P364" s="66" t="n">
        <v>1.280543478260869</v>
      </c>
      <c r="Q364" s="66" t="n">
        <v>1.1781</v>
      </c>
      <c r="R364" s="69" t="n">
        <v>0.9058653764536119</v>
      </c>
    </row>
    <row r="365">
      <c r="A365" s="64" t="n">
        <v>18</v>
      </c>
      <c r="B365" s="64" t="n">
        <v>10</v>
      </c>
      <c r="C365" s="64" t="inlineStr">
        <is>
          <t>RESEAL VALVES</t>
        </is>
      </c>
      <c r="D365" s="64" t="inlineStr">
        <is>
          <t>07002-12034</t>
        </is>
      </c>
      <c r="E365" s="64" t="inlineStr">
        <is>
          <t>O-RING P6</t>
        </is>
      </c>
      <c r="F365" s="65" t="n">
        <v>3</v>
      </c>
      <c r="G365" s="66" t="n">
        <v>2.39</v>
      </c>
      <c r="H365" s="66" t="n">
        <v>7.17</v>
      </c>
      <c r="I365" s="66" t="n">
        <v>1.895636443045507</v>
      </c>
      <c r="J365" s="66" t="n">
        <v>5.68690932913652</v>
      </c>
      <c r="K365" s="66" t="n">
        <v>2.1988</v>
      </c>
      <c r="L365" s="66" t="n">
        <v>6.5964</v>
      </c>
      <c r="M365" s="67" t="n">
        <v>0.9094906708634802</v>
      </c>
      <c r="N365" s="68" t="inlineStr">
        <is>
          <t>MATCH</t>
        </is>
      </c>
      <c r="O365" s="64" t="inlineStr"/>
      <c r="P365" s="66" t="n">
        <v>2.636413043478261</v>
      </c>
      <c r="Q365" s="66" t="n">
        <v>2.4255</v>
      </c>
      <c r="R365" s="69" t="n">
        <v>0.9065347351061638</v>
      </c>
    </row>
    <row r="366">
      <c r="A366" s="64" t="n">
        <v>18</v>
      </c>
      <c r="B366" s="64" t="n">
        <v>10</v>
      </c>
      <c r="C366" s="64" t="inlineStr">
        <is>
          <t>RESEAL VALVES</t>
        </is>
      </c>
      <c r="D366" s="64" t="inlineStr">
        <is>
          <t>07002-12434</t>
        </is>
      </c>
      <c r="E366" s="64" t="inlineStr">
        <is>
          <t>O-RING P60</t>
        </is>
      </c>
      <c r="F366" s="65" t="n">
        <v>4</v>
      </c>
      <c r="G366" s="66" t="n">
        <v>2.39</v>
      </c>
      <c r="H366" s="66" t="n">
        <v>9.56</v>
      </c>
      <c r="I366" s="66" t="n">
        <v>1.895636443045507</v>
      </c>
      <c r="J366" s="66" t="n">
        <v>7.582545772182027</v>
      </c>
      <c r="K366" s="66" t="n">
        <v>2.1988</v>
      </c>
      <c r="L366" s="66" t="n">
        <v>8.795200000000001</v>
      </c>
      <c r="M366" s="67" t="n">
        <v>1.212654227817974</v>
      </c>
      <c r="N366" s="68" t="inlineStr">
        <is>
          <t>MATCH</t>
        </is>
      </c>
      <c r="O366" s="64" t="inlineStr"/>
      <c r="P366" s="66" t="n">
        <v>2.636413043478261</v>
      </c>
      <c r="Q366" s="66" t="n">
        <v>2.4255</v>
      </c>
      <c r="R366" s="69" t="n">
        <v>0.9065347351061638</v>
      </c>
    </row>
    <row r="367">
      <c r="A367" s="64" t="n">
        <v>18</v>
      </c>
      <c r="B367" s="64" t="n">
        <v>10</v>
      </c>
      <c r="C367" s="64" t="inlineStr">
        <is>
          <t>RESEAL VALVES</t>
        </is>
      </c>
      <c r="D367" s="64" t="inlineStr">
        <is>
          <t>07002-13634</t>
        </is>
      </c>
      <c r="E367" s="64" t="inlineStr">
        <is>
          <t>O-RING P60</t>
        </is>
      </c>
      <c r="F367" s="65" t="n">
        <v>8</v>
      </c>
      <c r="G367" s="66" t="n">
        <v>3.35</v>
      </c>
      <c r="H367" s="66" t="n">
        <v>26.8</v>
      </c>
      <c r="I367" s="66" t="n">
        <v>2.65706363355751</v>
      </c>
      <c r="J367" s="66" t="n">
        <v>21.25650906846008</v>
      </c>
      <c r="K367" s="66" t="n">
        <v>3.082</v>
      </c>
      <c r="L367" s="66" t="n">
        <v>24.656</v>
      </c>
      <c r="M367" s="67" t="n">
        <v>3.399490931539926</v>
      </c>
      <c r="N367" s="68" t="inlineStr">
        <is>
          <t>MATCH</t>
        </is>
      </c>
      <c r="O367" s="64" t="inlineStr"/>
      <c r="P367" s="66" t="n">
        <v>3.690978260869565</v>
      </c>
      <c r="Q367" s="66" t="n">
        <v>3.3957</v>
      </c>
      <c r="R367" s="69" t="n">
        <v>0.9076184586388668</v>
      </c>
    </row>
    <row r="368">
      <c r="A368" s="64" t="n">
        <v>18</v>
      </c>
      <c r="B368" s="64" t="n">
        <v>10</v>
      </c>
      <c r="C368" s="64" t="inlineStr">
        <is>
          <t>RESEAL VALVES</t>
        </is>
      </c>
      <c r="D368" s="64" t="inlineStr">
        <is>
          <t>07002-14234</t>
        </is>
      </c>
      <c r="E368" s="64" t="inlineStr">
        <is>
          <t>O-RING</t>
        </is>
      </c>
      <c r="F368" s="65" t="n">
        <v>2</v>
      </c>
      <c r="G368" s="66" t="n">
        <v>3.35</v>
      </c>
      <c r="H368" s="66" t="n">
        <v>6.7</v>
      </c>
      <c r="I368" s="66" t="n">
        <v>2.65706363355751</v>
      </c>
      <c r="J368" s="66" t="n">
        <v>5.314127267115019</v>
      </c>
      <c r="K368" s="66" t="n">
        <v>3.082</v>
      </c>
      <c r="L368" s="66" t="n">
        <v>6.164000000000001</v>
      </c>
      <c r="M368" s="67" t="n">
        <v>0.8498727328849816</v>
      </c>
      <c r="N368" s="68" t="inlineStr">
        <is>
          <t>MATCH</t>
        </is>
      </c>
      <c r="O368" s="64" t="inlineStr"/>
      <c r="P368" s="66" t="n">
        <v>3.690978260869565</v>
      </c>
      <c r="Q368" s="66" t="n">
        <v>3.3957</v>
      </c>
      <c r="R368" s="69" t="n">
        <v>0.9076184586388668</v>
      </c>
    </row>
    <row r="369">
      <c r="A369" s="64" t="n">
        <v>18</v>
      </c>
      <c r="B369" s="64" t="n">
        <v>10</v>
      </c>
      <c r="C369" s="64" t="inlineStr">
        <is>
          <t>RESEAL VALVES</t>
        </is>
      </c>
      <c r="D369" s="64" t="inlineStr">
        <is>
          <t>07002-15234</t>
        </is>
      </c>
      <c r="E369" s="64" t="inlineStr">
        <is>
          <t>O-RING</t>
        </is>
      </c>
      <c r="F369" s="65" t="n">
        <v>2</v>
      </c>
      <c r="G369" s="66" t="n">
        <v>3.66</v>
      </c>
      <c r="H369" s="66" t="n">
        <v>7.32</v>
      </c>
      <c r="I369" s="66" t="n">
        <v>2.90294116382701</v>
      </c>
      <c r="J369" s="66" t="n">
        <v>5.805882327654021</v>
      </c>
      <c r="K369" s="66" t="n">
        <v>3.3672</v>
      </c>
      <c r="L369" s="66" t="n">
        <v>6.734400000000001</v>
      </c>
      <c r="M369" s="67" t="n">
        <v>0.92851767234598</v>
      </c>
      <c r="N369" s="68" t="inlineStr">
        <is>
          <t>MATCH</t>
        </is>
      </c>
      <c r="O369" s="64" t="inlineStr"/>
      <c r="P369" s="66" t="n">
        <v>4.035326086956522</v>
      </c>
      <c r="Q369" s="66" t="n">
        <v>3.7125</v>
      </c>
      <c r="R369" s="69" t="n">
        <v>0.9069898989898991</v>
      </c>
    </row>
    <row r="370">
      <c r="A370" s="64" t="n">
        <v>18</v>
      </c>
      <c r="B370" s="64" t="n">
        <v>10</v>
      </c>
      <c r="C370" s="64" t="inlineStr">
        <is>
          <t>RESEAL VALVES</t>
        </is>
      </c>
      <c r="D370" s="64" t="inlineStr">
        <is>
          <t>07002-21023</t>
        </is>
      </c>
      <c r="E370" s="64" t="inlineStr">
        <is>
          <t>O-RING</t>
        </is>
      </c>
      <c r="F370" s="65" t="n">
        <v>6</v>
      </c>
      <c r="G370" s="66" t="n">
        <v>5.94</v>
      </c>
      <c r="H370" s="66" t="n">
        <v>35.64</v>
      </c>
      <c r="I370" s="66" t="n">
        <v>4.711330741293017</v>
      </c>
      <c r="J370" s="66" t="n">
        <v>28.2679844477581</v>
      </c>
      <c r="K370" s="66" t="n">
        <v>5.4648</v>
      </c>
      <c r="L370" s="66" t="n">
        <v>32.7888</v>
      </c>
      <c r="M370" s="67" t="n">
        <v>4.520815552241903</v>
      </c>
      <c r="N370" s="68" t="inlineStr">
        <is>
          <t>MATCH</t>
        </is>
      </c>
      <c r="O370" s="64" t="inlineStr"/>
      <c r="P370" s="66" t="n">
        <v>7.09141304347826</v>
      </c>
      <c r="Q370" s="66" t="n">
        <v>6.5241</v>
      </c>
      <c r="R370" s="69" t="n">
        <v>0.8376327769347497</v>
      </c>
    </row>
    <row r="371">
      <c r="A371" s="64" t="n">
        <v>18</v>
      </c>
      <c r="B371" s="64" t="n">
        <v>10</v>
      </c>
      <c r="C371" s="64" t="inlineStr">
        <is>
          <t>RESEAL VALVES</t>
        </is>
      </c>
      <c r="D371" s="64" t="inlineStr">
        <is>
          <t>07002-21423</t>
        </is>
      </c>
      <c r="E371" s="64" t="inlineStr">
        <is>
          <t>O-RING P</t>
        </is>
      </c>
      <c r="F371" s="65" t="n">
        <v>8</v>
      </c>
      <c r="G371" s="66" t="n">
        <v>4.39</v>
      </c>
      <c r="H371" s="66" t="n">
        <v>35.12</v>
      </c>
      <c r="I371" s="66" t="n">
        <v>3.481943089945512</v>
      </c>
      <c r="J371" s="66" t="n">
        <v>27.8555447195641</v>
      </c>
      <c r="K371" s="66" t="n">
        <v>4.0388</v>
      </c>
      <c r="L371" s="66" t="n">
        <v>32.3104</v>
      </c>
      <c r="M371" s="67" t="n">
        <v>4.454855280435904</v>
      </c>
      <c r="N371" s="68" t="inlineStr">
        <is>
          <t>MATCH</t>
        </is>
      </c>
      <c r="O371" s="64" t="inlineStr"/>
      <c r="P371" s="66" t="n">
        <v>5.089891304347827</v>
      </c>
      <c r="Q371" s="66" t="n">
        <v>4.682700000000001</v>
      </c>
      <c r="R371" s="69" t="n">
        <v>0.8624938603796953</v>
      </c>
    </row>
    <row r="372">
      <c r="A372" s="64" t="n">
        <v>18</v>
      </c>
      <c r="B372" s="64" t="n">
        <v>10</v>
      </c>
      <c r="C372" s="64" t="inlineStr">
        <is>
          <t>RESEAL VALVES</t>
        </is>
      </c>
      <c r="D372" s="64" t="inlineStr">
        <is>
          <t>07002-22034</t>
        </is>
      </c>
      <c r="E372" s="64" t="inlineStr">
        <is>
          <t>O-RING P60</t>
        </is>
      </c>
      <c r="F372" s="65" t="n">
        <v>13</v>
      </c>
      <c r="G372" s="66" t="n">
        <v>9.859999999999999</v>
      </c>
      <c r="H372" s="66" t="n">
        <v>128.14</v>
      </c>
      <c r="I372" s="66" t="n">
        <v>7.820491769217027</v>
      </c>
      <c r="J372" s="66" t="n">
        <v>101.6346668668834</v>
      </c>
      <c r="K372" s="66" t="n">
        <v>9.071199999999999</v>
      </c>
      <c r="L372" s="66" t="n">
        <v>117.8888</v>
      </c>
      <c r="M372" s="67" t="n">
        <v>16.25413313311664</v>
      </c>
      <c r="N372" s="68" t="inlineStr">
        <is>
          <t>MATCH</t>
        </is>
      </c>
      <c r="O372" s="64" t="inlineStr"/>
      <c r="P372" s="66" t="n">
        <v>11.12673913043478</v>
      </c>
      <c r="Q372" s="66" t="n">
        <v>10.2366</v>
      </c>
      <c r="R372" s="69" t="n">
        <v>0.8861536056893891</v>
      </c>
    </row>
    <row r="373">
      <c r="A373" s="64" t="n">
        <v>18</v>
      </c>
      <c r="B373" s="64" t="n">
        <v>10</v>
      </c>
      <c r="C373" s="64" t="inlineStr">
        <is>
          <t>RESEAL VALVES</t>
        </is>
      </c>
      <c r="D373" s="64" t="inlineStr">
        <is>
          <t>07002-22434</t>
        </is>
      </c>
      <c r="E373" s="64" t="inlineStr">
        <is>
          <t>O-RING P6</t>
        </is>
      </c>
      <c r="F373" s="65" t="n">
        <v>3</v>
      </c>
      <c r="G373" s="66" t="n">
        <v>9.75</v>
      </c>
      <c r="H373" s="66" t="n">
        <v>29.24</v>
      </c>
      <c r="I373" s="66" t="n">
        <v>7.733244903637527</v>
      </c>
      <c r="J373" s="66" t="n">
        <v>23.19180317767808</v>
      </c>
      <c r="K373" s="66" t="n">
        <v>8.970000000000001</v>
      </c>
      <c r="L373" s="66" t="n">
        <v>26.9008</v>
      </c>
      <c r="M373" s="67" t="n">
        <v>3.708996822321922</v>
      </c>
      <c r="N373" s="68" t="inlineStr">
        <is>
          <t>MATCH</t>
        </is>
      </c>
      <c r="O373" s="64" t="inlineStr"/>
      <c r="P373" s="66" t="n">
        <v>11.51413043478261</v>
      </c>
      <c r="Q373" s="66" t="n">
        <v>10.593</v>
      </c>
      <c r="R373" s="69" t="n">
        <v>0.8467856131407534</v>
      </c>
    </row>
    <row r="374">
      <c r="A374" s="64" t="n">
        <v>18</v>
      </c>
      <c r="B374" s="64" t="n">
        <v>10</v>
      </c>
      <c r="C374" s="64" t="inlineStr">
        <is>
          <t>RESEAL VALVES</t>
        </is>
      </c>
      <c r="D374" s="64" t="inlineStr">
        <is>
          <t>07156-01517</t>
        </is>
      </c>
      <c r="E374" s="64" t="inlineStr">
        <is>
          <t>WEAR RING</t>
        </is>
      </c>
      <c r="F374" s="65" t="n">
        <v>8</v>
      </c>
      <c r="G374" s="66" t="n">
        <v>61.59</v>
      </c>
      <c r="H374" s="66" t="n">
        <v>492.72</v>
      </c>
      <c r="I374" s="66" t="n">
        <v>48.85031319128567</v>
      </c>
      <c r="J374" s="66" t="n">
        <v>390.8025055302854</v>
      </c>
      <c r="K374" s="66" t="n">
        <v>56.6628</v>
      </c>
      <c r="L374" s="66" t="n">
        <v>453.3024</v>
      </c>
      <c r="M374" s="67" t="n">
        <v>62.49989446971466</v>
      </c>
      <c r="N374" s="68" t="inlineStr">
        <is>
          <t>MATCH</t>
        </is>
      </c>
      <c r="O374" s="64" t="inlineStr"/>
      <c r="P374" s="66" t="n">
        <v>75.47673913043478</v>
      </c>
      <c r="Q374" s="66" t="n">
        <v>69.43859999999999</v>
      </c>
      <c r="R374" s="69" t="n">
        <v>0.8160129956537143</v>
      </c>
    </row>
    <row r="375">
      <c r="A375" s="64" t="n">
        <v>18</v>
      </c>
      <c r="B375" s="64" t="n">
        <v>10</v>
      </c>
      <c r="C375" s="64" t="inlineStr">
        <is>
          <t>RESEAL VALVES</t>
        </is>
      </c>
      <c r="D375" s="64" t="inlineStr">
        <is>
          <t>07260-24118</t>
        </is>
      </c>
      <c r="E375" s="64" t="inlineStr">
        <is>
          <t>HOSE</t>
        </is>
      </c>
      <c r="F375" s="65" t="n">
        <v>1</v>
      </c>
      <c r="G375" s="66" t="n">
        <v>29.06</v>
      </c>
      <c r="H375" s="66" t="n">
        <v>29.06</v>
      </c>
      <c r="I375" s="66" t="n">
        <v>23.04903557945708</v>
      </c>
      <c r="J375" s="66" t="n">
        <v>23.04903557945708</v>
      </c>
      <c r="K375" s="66" t="n">
        <v>26.7352</v>
      </c>
      <c r="L375" s="66" t="n">
        <v>26.7352</v>
      </c>
      <c r="M375" s="67" t="n">
        <v>3.686164420542919</v>
      </c>
      <c r="N375" s="68" t="inlineStr">
        <is>
          <t>MATCH</t>
        </is>
      </c>
      <c r="O375" s="64" t="inlineStr"/>
      <c r="P375" s="66" t="n">
        <v>35.60771739130435</v>
      </c>
      <c r="Q375" s="66" t="n">
        <v>32.7591</v>
      </c>
      <c r="R375" s="69" t="n">
        <v>0.8161152168405115</v>
      </c>
    </row>
    <row r="376">
      <c r="A376" s="64" t="n">
        <v>18</v>
      </c>
      <c r="B376" s="64" t="n">
        <v>10</v>
      </c>
      <c r="C376" s="64" t="inlineStr">
        <is>
          <t>RESEAL VALVES</t>
        </is>
      </c>
      <c r="D376" s="64" t="inlineStr">
        <is>
          <t>07260-24720</t>
        </is>
      </c>
      <c r="E376" s="64" t="inlineStr">
        <is>
          <t>HOSE</t>
        </is>
      </c>
      <c r="F376" s="65" t="n">
        <v>1</v>
      </c>
      <c r="G376" s="66" t="n">
        <v>72.59</v>
      </c>
      <c r="H376" s="66" t="n">
        <v>72.59</v>
      </c>
      <c r="I376" s="66" t="n">
        <v>57.5749997492357</v>
      </c>
      <c r="J376" s="66" t="n">
        <v>57.5749997492357</v>
      </c>
      <c r="K376" s="66" t="n">
        <v>66.78280000000001</v>
      </c>
      <c r="L376" s="66" t="n">
        <v>66.78280000000001</v>
      </c>
      <c r="M376" s="67" t="n">
        <v>9.207800250764308</v>
      </c>
      <c r="N376" s="68" t="inlineStr">
        <is>
          <t>MATCH</t>
        </is>
      </c>
      <c r="O376" s="64" t="inlineStr"/>
      <c r="P376" s="66" t="n">
        <v>88.97086956521738</v>
      </c>
      <c r="Q376" s="66" t="n">
        <v>81.8532</v>
      </c>
      <c r="R376" s="69" t="n">
        <v>0.8158850234321934</v>
      </c>
    </row>
    <row r="377">
      <c r="A377" s="64" t="n">
        <v>18</v>
      </c>
      <c r="B377" s="64" t="n">
        <v>10</v>
      </c>
      <c r="C377" s="64" t="inlineStr">
        <is>
          <t>RESEAL VALVES</t>
        </is>
      </c>
      <c r="D377" s="64" t="inlineStr">
        <is>
          <t>07260-25638</t>
        </is>
      </c>
      <c r="E377" s="64" t="inlineStr">
        <is>
          <t>HOSE</t>
        </is>
      </c>
      <c r="F377" s="65" t="n">
        <v>1</v>
      </c>
      <c r="G377" s="66" t="n">
        <v>48.91</v>
      </c>
      <c r="H377" s="66" t="n">
        <v>48.91</v>
      </c>
      <c r="I377" s="66" t="n">
        <v>38.79312904993963</v>
      </c>
      <c r="J377" s="66" t="n">
        <v>38.79312904993963</v>
      </c>
      <c r="K377" s="66" t="n">
        <v>44.9972</v>
      </c>
      <c r="L377" s="66" t="n">
        <v>44.9972</v>
      </c>
      <c r="M377" s="67" t="n">
        <v>6.20407095006037</v>
      </c>
      <c r="N377" s="63" t="inlineStr">
        <is>
          <t>NO MATCH</t>
        </is>
      </c>
      <c r="O377" s="64" t="inlineStr">
        <is>
          <t>Komatsu PN not in master file</t>
        </is>
      </c>
      <c r="P377" s="66" t="n"/>
      <c r="Q377" s="66" t="n"/>
      <c r="R377" s="69" t="n"/>
    </row>
    <row r="378">
      <c r="A378" s="64" t="n">
        <v>18</v>
      </c>
      <c r="B378" s="64" t="n">
        <v>10</v>
      </c>
      <c r="C378" s="64" t="inlineStr">
        <is>
          <t>RESEAL VALVES</t>
        </is>
      </c>
      <c r="D378" s="64" t="inlineStr">
        <is>
          <t>07289-00055</t>
        </is>
      </c>
      <c r="E378" s="64" t="inlineStr">
        <is>
          <t>CLAMP</t>
        </is>
      </c>
      <c r="F378" s="65" t="n">
        <v>4</v>
      </c>
      <c r="G378" s="66" t="n">
        <v>13</v>
      </c>
      <c r="H378" s="66" t="n">
        <v>52</v>
      </c>
      <c r="I378" s="66" t="n">
        <v>10.31099320485004</v>
      </c>
      <c r="J378" s="66" t="n">
        <v>41.24397281940014</v>
      </c>
      <c r="K378" s="66" t="n">
        <v>11.96</v>
      </c>
      <c r="L378" s="66" t="n">
        <v>47.84</v>
      </c>
      <c r="M378" s="67" t="n">
        <v>6.596027180599862</v>
      </c>
      <c r="N378" s="68" t="inlineStr">
        <is>
          <t>MATCH</t>
        </is>
      </c>
      <c r="O378" s="64" t="inlineStr"/>
      <c r="P378" s="66" t="n">
        <v>15.93684782608696</v>
      </c>
      <c r="Q378" s="66" t="n">
        <v>14.6619</v>
      </c>
      <c r="R378" s="69" t="n">
        <v>0.8157196543422066</v>
      </c>
    </row>
    <row r="379">
      <c r="A379" s="64" t="n">
        <v>18</v>
      </c>
      <c r="B379" s="64" t="n">
        <v>10</v>
      </c>
      <c r="C379" s="64" t="inlineStr">
        <is>
          <t>RESEAL VALVES</t>
        </is>
      </c>
      <c r="D379" s="64" t="inlineStr">
        <is>
          <t>07299-00070</t>
        </is>
      </c>
      <c r="E379" s="64" t="inlineStr">
        <is>
          <t>CLAMP</t>
        </is>
      </c>
      <c r="F379" s="65" t="n">
        <v>4</v>
      </c>
      <c r="G379" s="66" t="n">
        <v>13.49</v>
      </c>
      <c r="H379" s="66" t="n">
        <v>53.96</v>
      </c>
      <c r="I379" s="66" t="n">
        <v>10.69963833334054</v>
      </c>
      <c r="J379" s="66" t="n">
        <v>42.79855333336215</v>
      </c>
      <c r="K379" s="66" t="n">
        <v>12.4108</v>
      </c>
      <c r="L379" s="66" t="n">
        <v>49.6432</v>
      </c>
      <c r="M379" s="67" t="n">
        <v>6.84464666663785</v>
      </c>
      <c r="N379" s="68" t="inlineStr">
        <is>
          <t>MATCH</t>
        </is>
      </c>
      <c r="O379" s="64" t="inlineStr"/>
      <c r="P379" s="66" t="n">
        <v>16.52869565217391</v>
      </c>
      <c r="Q379" s="66" t="n">
        <v>15.2064</v>
      </c>
      <c r="R379" s="69" t="n">
        <v>0.8161563552188553</v>
      </c>
    </row>
    <row r="380">
      <c r="A380" s="64" t="n">
        <v>18</v>
      </c>
      <c r="B380" s="64" t="n">
        <v>10</v>
      </c>
      <c r="C380" s="64" t="inlineStr">
        <is>
          <t>RESEAL VALVES</t>
        </is>
      </c>
      <c r="D380" s="64" t="inlineStr">
        <is>
          <t>07299-00080</t>
        </is>
      </c>
      <c r="E380" s="64" t="inlineStr">
        <is>
          <t>CLAMP</t>
        </is>
      </c>
      <c r="F380" s="65" t="n">
        <v>4</v>
      </c>
      <c r="G380" s="66" t="n">
        <v>19.73</v>
      </c>
      <c r="H380" s="66" t="n">
        <v>78.92</v>
      </c>
      <c r="I380" s="66" t="n">
        <v>15.64891507166855</v>
      </c>
      <c r="J380" s="66" t="n">
        <v>62.59566028667422</v>
      </c>
      <c r="K380" s="66" t="n">
        <v>18.1516</v>
      </c>
      <c r="L380" s="66" t="n">
        <v>72.60640000000001</v>
      </c>
      <c r="M380" s="67" t="n">
        <v>10.01073971332579</v>
      </c>
      <c r="N380" s="68" t="inlineStr">
        <is>
          <t>MATCH</t>
        </is>
      </c>
      <c r="O380" s="64" t="inlineStr"/>
      <c r="P380" s="66" t="n">
        <v>24.17967391304348</v>
      </c>
      <c r="Q380" s="66" t="n">
        <v>22.2453</v>
      </c>
      <c r="R380" s="69" t="n">
        <v>0.8159746103671338</v>
      </c>
    </row>
    <row r="381">
      <c r="A381" s="64" t="n">
        <v>18</v>
      </c>
      <c r="B381" s="64" t="n">
        <v>10</v>
      </c>
      <c r="C381" s="64" t="inlineStr">
        <is>
          <t>RESEAL VALVES</t>
        </is>
      </c>
      <c r="D381" s="64" t="inlineStr">
        <is>
          <t>419-43-12430</t>
        </is>
      </c>
      <c r="E381" s="64" t="inlineStr">
        <is>
          <t>O-RING</t>
        </is>
      </c>
      <c r="F381" s="65" t="n">
        <v>2</v>
      </c>
      <c r="G381" s="66" t="n">
        <v>33.46</v>
      </c>
      <c r="H381" s="66" t="n">
        <v>66.92</v>
      </c>
      <c r="I381" s="66" t="n">
        <v>26.53891020263709</v>
      </c>
      <c r="J381" s="66" t="n">
        <v>53.07782040527419</v>
      </c>
      <c r="K381" s="66" t="n">
        <v>30.7832</v>
      </c>
      <c r="L381" s="66" t="n">
        <v>61.5664</v>
      </c>
      <c r="M381" s="67" t="n">
        <v>8.488579594725813</v>
      </c>
      <c r="N381" s="68" t="inlineStr">
        <is>
          <t>MATCH</t>
        </is>
      </c>
      <c r="O381" s="64" t="inlineStr"/>
      <c r="P381" s="66" t="n">
        <v>38.00739130434783</v>
      </c>
      <c r="Q381" s="66" t="n">
        <v>34.9668</v>
      </c>
      <c r="R381" s="69" t="n">
        <v>0.880355079675578</v>
      </c>
    </row>
    <row r="382">
      <c r="A382" s="64" t="n">
        <v>18</v>
      </c>
      <c r="B382" s="64" t="n">
        <v>10</v>
      </c>
      <c r="C382" s="64" t="inlineStr">
        <is>
          <t>RESEAL VALVES</t>
        </is>
      </c>
      <c r="D382" s="64" t="inlineStr">
        <is>
          <t>421-40-12440</t>
        </is>
      </c>
      <c r="E382" s="64" t="inlineStr">
        <is>
          <t>NUT</t>
        </is>
      </c>
      <c r="F382" s="65" t="n">
        <v>12</v>
      </c>
      <c r="G382" s="66" t="n">
        <v>2.83</v>
      </c>
      <c r="H382" s="66" t="n">
        <v>33.96</v>
      </c>
      <c r="I382" s="66" t="n">
        <v>2.244623905363508</v>
      </c>
      <c r="J382" s="66" t="n">
        <v>26.93548686436209</v>
      </c>
      <c r="K382" s="66" t="n">
        <v>2.6036</v>
      </c>
      <c r="L382" s="66" t="n">
        <v>31.2432</v>
      </c>
      <c r="M382" s="67" t="n">
        <v>4.307713135637908</v>
      </c>
      <c r="N382" s="68" t="inlineStr">
        <is>
          <t>MATCH</t>
        </is>
      </c>
      <c r="O382" s="64" t="inlineStr"/>
      <c r="P382" s="66" t="n">
        <v>3.465</v>
      </c>
      <c r="Q382" s="66" t="n">
        <v>3.1878</v>
      </c>
      <c r="R382" s="69" t="n">
        <v>0.8167388167388168</v>
      </c>
    </row>
    <row r="383">
      <c r="A383" s="64" t="n">
        <v>18</v>
      </c>
      <c r="B383" s="64" t="n">
        <v>10</v>
      </c>
      <c r="C383" s="64" t="inlineStr">
        <is>
          <t>RESEAL VALVES</t>
        </is>
      </c>
      <c r="D383" s="64" t="inlineStr">
        <is>
          <t>421-43-27140</t>
        </is>
      </c>
      <c r="E383" s="64" t="inlineStr">
        <is>
          <t>BACK UP RING</t>
        </is>
      </c>
      <c r="F383" s="65" t="n">
        <v>2</v>
      </c>
      <c r="G383" s="66" t="n">
        <v>31.84</v>
      </c>
      <c r="H383" s="66" t="n">
        <v>63.68</v>
      </c>
      <c r="I383" s="66" t="n">
        <v>25.25400181864809</v>
      </c>
      <c r="J383" s="66" t="n">
        <v>50.50800363729618</v>
      </c>
      <c r="K383" s="66" t="n">
        <v>29.2928</v>
      </c>
      <c r="L383" s="66" t="n">
        <v>58.5856</v>
      </c>
      <c r="M383" s="67" t="n">
        <v>8.077596362703822</v>
      </c>
      <c r="N383" s="68" t="inlineStr">
        <is>
          <t>MATCH</t>
        </is>
      </c>
      <c r="O383" s="64" t="inlineStr"/>
      <c r="P383" s="66" t="n">
        <v>37.98586956521739</v>
      </c>
      <c r="Q383" s="66" t="n">
        <v>34.947</v>
      </c>
      <c r="R383" s="69" t="n">
        <v>0.8382064268749823</v>
      </c>
    </row>
    <row r="384">
      <c r="A384" s="64" t="n">
        <v>18</v>
      </c>
      <c r="B384" s="64" t="n">
        <v>10</v>
      </c>
      <c r="C384" s="64" t="inlineStr">
        <is>
          <t>RESEAL VALVES</t>
        </is>
      </c>
      <c r="D384" s="64" t="inlineStr">
        <is>
          <t>421-43-27470</t>
        </is>
      </c>
      <c r="E384" s="64" t="inlineStr">
        <is>
          <t>O-RING</t>
        </is>
      </c>
      <c r="F384" s="65" t="n">
        <v>1</v>
      </c>
      <c r="G384" s="66" t="n">
        <v>67.83</v>
      </c>
      <c r="H384" s="66" t="n">
        <v>67.83</v>
      </c>
      <c r="I384" s="66" t="n">
        <v>53.79958992961369</v>
      </c>
      <c r="J384" s="66" t="n">
        <v>53.79958992961369</v>
      </c>
      <c r="K384" s="66" t="n">
        <v>62.4036</v>
      </c>
      <c r="L384" s="66" t="n">
        <v>62.4036</v>
      </c>
      <c r="M384" s="67" t="n">
        <v>8.604010070386316</v>
      </c>
      <c r="N384" s="68" t="inlineStr">
        <is>
          <t>MATCH</t>
        </is>
      </c>
      <c r="O384" s="64" t="inlineStr"/>
      <c r="P384" s="66" t="n">
        <v>74.8095652173913</v>
      </c>
      <c r="Q384" s="66" t="n">
        <v>68.8248</v>
      </c>
      <c r="R384" s="69" t="n">
        <v>0.9067022352407854</v>
      </c>
    </row>
    <row r="385">
      <c r="A385" s="64" t="n">
        <v>18</v>
      </c>
      <c r="B385" s="64" t="n">
        <v>10</v>
      </c>
      <c r="C385" s="64" t="inlineStr">
        <is>
          <t>RESEAL VALVES</t>
        </is>
      </c>
      <c r="D385" s="64" t="inlineStr">
        <is>
          <t>421-43-27480</t>
        </is>
      </c>
      <c r="E385" s="64" t="inlineStr">
        <is>
          <t>O-RING</t>
        </is>
      </c>
      <c r="F385" s="65" t="n">
        <v>1</v>
      </c>
      <c r="G385" s="66" t="n">
        <v>22.3</v>
      </c>
      <c r="H385" s="66" t="n">
        <v>22.3</v>
      </c>
      <c r="I385" s="66" t="n">
        <v>17.68731911293506</v>
      </c>
      <c r="J385" s="66" t="n">
        <v>17.68731911293506</v>
      </c>
      <c r="K385" s="66" t="n">
        <v>20.516</v>
      </c>
      <c r="L385" s="66" t="n">
        <v>20.516</v>
      </c>
      <c r="M385" s="67" t="n">
        <v>2.828680887064941</v>
      </c>
      <c r="N385" s="68" t="inlineStr">
        <is>
          <t>MATCH</t>
        </is>
      </c>
      <c r="O385" s="64" t="inlineStr"/>
      <c r="P385" s="66" t="n">
        <v>26.60086956521739</v>
      </c>
      <c r="Q385" s="66" t="n">
        <v>24.4728</v>
      </c>
      <c r="R385" s="69" t="n">
        <v>0.838318459677683</v>
      </c>
    </row>
    <row r="386">
      <c r="A386" s="64" t="n">
        <v>18</v>
      </c>
      <c r="B386" s="64" t="n">
        <v>10</v>
      </c>
      <c r="C386" s="64" t="inlineStr">
        <is>
          <t>RESEAL VALVES</t>
        </is>
      </c>
      <c r="D386" s="64" t="inlineStr">
        <is>
          <t>421-43-32922</t>
        </is>
      </c>
      <c r="E386" s="64" t="inlineStr">
        <is>
          <t>SWITCH</t>
        </is>
      </c>
      <c r="F386" s="65" t="n">
        <v>1</v>
      </c>
      <c r="G386" s="66" t="n">
        <v>513.88</v>
      </c>
      <c r="H386" s="66" t="n">
        <v>513.88</v>
      </c>
      <c r="I386" s="66" t="n">
        <v>407.5856298544874</v>
      </c>
      <c r="J386" s="66" t="n">
        <v>407.5856298544874</v>
      </c>
      <c r="K386" s="66" t="n">
        <v>472.7696</v>
      </c>
      <c r="L386" s="66" t="n">
        <v>472.7696</v>
      </c>
      <c r="M386" s="67" t="n">
        <v>65.1839701455126</v>
      </c>
      <c r="N386" s="68" t="inlineStr">
        <is>
          <t>MATCH</t>
        </is>
      </c>
      <c r="O386" s="64" t="inlineStr"/>
      <c r="P386" s="66" t="n">
        <v>629.7798913043479</v>
      </c>
      <c r="Q386" s="66" t="n">
        <v>579.3975</v>
      </c>
      <c r="R386" s="69" t="n">
        <v>0.8159676215378906</v>
      </c>
    </row>
    <row r="387">
      <c r="A387" s="64" t="n">
        <v>18</v>
      </c>
      <c r="B387" s="64" t="n">
        <v>10</v>
      </c>
      <c r="C387" s="64" t="inlineStr">
        <is>
          <t>RESEAL VALVES</t>
        </is>
      </c>
      <c r="D387" s="64" t="inlineStr">
        <is>
          <t>421-64-15460</t>
        </is>
      </c>
      <c r="E387" s="64" t="inlineStr">
        <is>
          <t>O-RING</t>
        </is>
      </c>
      <c r="F387" s="65" t="n">
        <v>1</v>
      </c>
      <c r="G387" s="66" t="n">
        <v>11.35</v>
      </c>
      <c r="H387" s="66" t="n">
        <v>11.35</v>
      </c>
      <c r="I387" s="66" t="n">
        <v>9.002290221157532</v>
      </c>
      <c r="J387" s="66" t="n">
        <v>9.002290221157532</v>
      </c>
      <c r="K387" s="66" t="n">
        <v>10.442</v>
      </c>
      <c r="L387" s="66" t="n">
        <v>10.442</v>
      </c>
      <c r="M387" s="67" t="n">
        <v>1.439709778842468</v>
      </c>
      <c r="N387" s="68" t="inlineStr">
        <is>
          <t>MATCH</t>
        </is>
      </c>
      <c r="O387" s="64" t="inlineStr"/>
      <c r="P387" s="66" t="n">
        <v>13.53717391304348</v>
      </c>
      <c r="Q387" s="66" t="n">
        <v>12.4542</v>
      </c>
      <c r="R387" s="69" t="n">
        <v>0.8384320149026031</v>
      </c>
    </row>
    <row r="388">
      <c r="A388" s="64" t="n">
        <v>18</v>
      </c>
      <c r="B388" s="64" t="n">
        <v>10</v>
      </c>
      <c r="C388" s="64" t="inlineStr">
        <is>
          <t>RESEAL VALVES</t>
        </is>
      </c>
      <c r="D388" s="64" t="inlineStr">
        <is>
          <t>421-64-15870</t>
        </is>
      </c>
      <c r="E388" s="64" t="inlineStr">
        <is>
          <t>O-RING</t>
        </is>
      </c>
      <c r="F388" s="65" t="n">
        <v>2</v>
      </c>
      <c r="G388" s="66" t="n">
        <v>9.67</v>
      </c>
      <c r="H388" s="66" t="n">
        <v>19.34</v>
      </c>
      <c r="I388" s="66" t="n">
        <v>7.669792637761526</v>
      </c>
      <c r="J388" s="66" t="n">
        <v>15.33958527552305</v>
      </c>
      <c r="K388" s="66" t="n">
        <v>8.8964</v>
      </c>
      <c r="L388" s="66" t="n">
        <v>17.7928</v>
      </c>
      <c r="M388" s="67" t="n">
        <v>2.453214724476947</v>
      </c>
      <c r="N388" s="68" t="inlineStr">
        <is>
          <t>MATCH</t>
        </is>
      </c>
      <c r="O388" s="64" t="inlineStr"/>
      <c r="P388" s="66" t="n">
        <v>11.53565217391304</v>
      </c>
      <c r="Q388" s="66" t="n">
        <v>10.6128</v>
      </c>
      <c r="R388" s="69" t="n">
        <v>0.838270767375245</v>
      </c>
    </row>
    <row r="389">
      <c r="A389" s="64" t="n">
        <v>18</v>
      </c>
      <c r="B389" s="64" t="n">
        <v>10</v>
      </c>
      <c r="C389" s="64" t="inlineStr">
        <is>
          <t>RESEAL VALVES</t>
        </is>
      </c>
      <c r="D389" s="64" t="inlineStr">
        <is>
          <t>42C-06-11980</t>
        </is>
      </c>
      <c r="E389" s="64" t="inlineStr">
        <is>
          <t>SWITCH</t>
        </is>
      </c>
      <c r="F389" s="65" t="n">
        <v>1</v>
      </c>
      <c r="G389" s="66" t="n">
        <v>287.47</v>
      </c>
      <c r="H389" s="66" t="n">
        <v>287.47</v>
      </c>
      <c r="I389" s="66" t="n">
        <v>228.0077858921723</v>
      </c>
      <c r="J389" s="66" t="n">
        <v>228.0077858921723</v>
      </c>
      <c r="K389" s="66" t="n">
        <v>264.4724000000001</v>
      </c>
      <c r="L389" s="66" t="n">
        <v>264.4724000000001</v>
      </c>
      <c r="M389" s="67" t="n">
        <v>36.46461410782774</v>
      </c>
      <c r="N389" s="68" t="inlineStr">
        <is>
          <t>MATCH</t>
        </is>
      </c>
      <c r="O389" s="64" t="inlineStr"/>
      <c r="P389" s="66" t="n">
        <v>352.3108695652173</v>
      </c>
      <c r="Q389" s="66" t="n">
        <v>324.126</v>
      </c>
      <c r="R389" s="69" t="n">
        <v>0.8159555234692684</v>
      </c>
    </row>
    <row r="390">
      <c r="A390" s="64" t="n">
        <v>19</v>
      </c>
      <c r="B390" s="64" t="n">
        <v>10</v>
      </c>
      <c r="C390" s="64" t="inlineStr">
        <is>
          <t>RESEAL VALVES</t>
        </is>
      </c>
      <c r="D390" s="64" t="inlineStr">
        <is>
          <t>426-43-27461</t>
        </is>
      </c>
      <c r="E390" s="64" t="inlineStr">
        <is>
          <t>BAND</t>
        </is>
      </c>
      <c r="F390" s="65" t="n">
        <v>4</v>
      </c>
      <c r="G390" s="66" t="n">
        <v>113.26</v>
      </c>
      <c r="H390" s="66" t="n">
        <v>453.04</v>
      </c>
      <c r="I390" s="66" t="n">
        <v>89.83254541394732</v>
      </c>
      <c r="J390" s="66" t="n">
        <v>359.3301816557893</v>
      </c>
      <c r="K390" s="66" t="n">
        <v>104.1992</v>
      </c>
      <c r="L390" s="66" t="n">
        <v>416.7968</v>
      </c>
      <c r="M390" s="67" t="n">
        <v>57.46661834421076</v>
      </c>
      <c r="N390" s="68" t="inlineStr">
        <is>
          <t>MATCH</t>
        </is>
      </c>
      <c r="O390" s="64" t="inlineStr"/>
      <c r="P390" s="66" t="n">
        <v>140.1495652173913</v>
      </c>
      <c r="Q390" s="66" t="n">
        <v>128.9376</v>
      </c>
      <c r="R390" s="69" t="n">
        <v>0.8081366490457399</v>
      </c>
    </row>
    <row r="391">
      <c r="A391" s="64" t="n">
        <v>19</v>
      </c>
      <c r="B391" s="64" t="n">
        <v>10</v>
      </c>
      <c r="C391" s="64" t="inlineStr">
        <is>
          <t>RESEAL VALVES</t>
        </is>
      </c>
      <c r="D391" s="64" t="inlineStr">
        <is>
          <t>427-S33-1760</t>
        </is>
      </c>
      <c r="E391" s="64" t="inlineStr">
        <is>
          <t>RING</t>
        </is>
      </c>
      <c r="F391" s="65" t="n">
        <v>1</v>
      </c>
      <c r="G391" s="66" t="n">
        <v>72.84</v>
      </c>
      <c r="H391" s="66" t="n">
        <v>72.84</v>
      </c>
      <c r="I391" s="66" t="n">
        <v>57.7732880800982</v>
      </c>
      <c r="J391" s="66" t="n">
        <v>57.7732880800982</v>
      </c>
      <c r="K391" s="66" t="n">
        <v>67.01280000000001</v>
      </c>
      <c r="L391" s="66" t="n">
        <v>67.01280000000001</v>
      </c>
      <c r="M391" s="67" t="n">
        <v>9.239511919901808</v>
      </c>
      <c r="N391" s="68" t="inlineStr">
        <is>
          <t>MATCH</t>
        </is>
      </c>
      <c r="O391" s="64" t="inlineStr"/>
      <c r="P391" s="66" t="n">
        <v>82.75108695652173</v>
      </c>
      <c r="Q391" s="66" t="n">
        <v>76.131</v>
      </c>
      <c r="R391" s="69" t="n">
        <v>0.8802301296449542</v>
      </c>
    </row>
    <row r="392">
      <c r="A392" s="64" t="n">
        <v>19</v>
      </c>
      <c r="B392" s="64" t="n">
        <v>10</v>
      </c>
      <c r="C392" s="64" t="inlineStr">
        <is>
          <t>RESEAL VALVES</t>
        </is>
      </c>
      <c r="D392" s="64" t="inlineStr">
        <is>
          <t>427-S33-1770</t>
        </is>
      </c>
      <c r="E392" s="64" t="inlineStr">
        <is>
          <t>RING</t>
        </is>
      </c>
      <c r="F392" s="65" t="n">
        <v>1</v>
      </c>
      <c r="G392" s="66" t="n">
        <v>53.11</v>
      </c>
      <c r="H392" s="66" t="n">
        <v>53.11</v>
      </c>
      <c r="I392" s="66" t="n">
        <v>42.12437300842965</v>
      </c>
      <c r="J392" s="66" t="n">
        <v>42.12437300842965</v>
      </c>
      <c r="K392" s="66" t="n">
        <v>48.8612</v>
      </c>
      <c r="L392" s="66" t="n">
        <v>48.8612</v>
      </c>
      <c r="M392" s="67" t="n">
        <v>6.736826991570354</v>
      </c>
      <c r="N392" s="68" t="inlineStr">
        <is>
          <t>MATCH</t>
        </is>
      </c>
      <c r="O392" s="64" t="inlineStr"/>
      <c r="P392" s="66" t="n">
        <v>60.33619565217391</v>
      </c>
      <c r="Q392" s="66" t="n">
        <v>55.5093</v>
      </c>
      <c r="R392" s="69" t="n">
        <v>0.8802344832307379</v>
      </c>
    </row>
    <row r="393">
      <c r="A393" s="64" t="n">
        <v>19</v>
      </c>
      <c r="B393" s="64" t="n">
        <v>10</v>
      </c>
      <c r="C393" s="64" t="inlineStr">
        <is>
          <t>RESEAL VALVES</t>
        </is>
      </c>
      <c r="D393" s="64" t="inlineStr">
        <is>
          <t>427-S33-1780</t>
        </is>
      </c>
      <c r="E393" s="64" t="inlineStr">
        <is>
          <t>RING</t>
        </is>
      </c>
      <c r="F393" s="65" t="n">
        <v>2</v>
      </c>
      <c r="G393" s="66" t="n">
        <v>53.11</v>
      </c>
      <c r="H393" s="66" t="n">
        <v>106.22</v>
      </c>
      <c r="I393" s="66" t="n">
        <v>42.12437300842965</v>
      </c>
      <c r="J393" s="66" t="n">
        <v>84.2487460168593</v>
      </c>
      <c r="K393" s="66" t="n">
        <v>48.8612</v>
      </c>
      <c r="L393" s="66" t="n">
        <v>97.72240000000001</v>
      </c>
      <c r="M393" s="67" t="n">
        <v>13.47365398314071</v>
      </c>
      <c r="N393" s="68" t="inlineStr">
        <is>
          <t>MATCH</t>
        </is>
      </c>
      <c r="O393" s="64" t="inlineStr"/>
      <c r="P393" s="66" t="n">
        <v>60.33619565217391</v>
      </c>
      <c r="Q393" s="66" t="n">
        <v>55.5093</v>
      </c>
      <c r="R393" s="69" t="n">
        <v>0.8802344832307379</v>
      </c>
    </row>
    <row r="394">
      <c r="A394" s="64" t="n">
        <v>19</v>
      </c>
      <c r="B394" s="64" t="n">
        <v>10</v>
      </c>
      <c r="C394" s="64" t="inlineStr">
        <is>
          <t>RESEAL VALVES</t>
        </is>
      </c>
      <c r="D394" s="64" t="inlineStr">
        <is>
          <t>427-S33-1790</t>
        </is>
      </c>
      <c r="E394" s="64" t="inlineStr">
        <is>
          <t>O-RING</t>
        </is>
      </c>
      <c r="F394" s="65" t="n">
        <v>1</v>
      </c>
      <c r="G394" s="66" t="n">
        <v>65.8</v>
      </c>
      <c r="H394" s="66" t="n">
        <v>65.8</v>
      </c>
      <c r="I394" s="66" t="n">
        <v>52.18948868301018</v>
      </c>
      <c r="J394" s="66" t="n">
        <v>52.18948868301018</v>
      </c>
      <c r="K394" s="66" t="n">
        <v>60.536</v>
      </c>
      <c r="L394" s="66" t="n">
        <v>60.536</v>
      </c>
      <c r="M394" s="67" t="n">
        <v>8.346511316989819</v>
      </c>
      <c r="N394" s="68" t="inlineStr">
        <is>
          <t>MATCH</t>
        </is>
      </c>
      <c r="O394" s="64" t="inlineStr"/>
      <c r="P394" s="66" t="n">
        <v>77.73652173913042</v>
      </c>
      <c r="Q394" s="66" t="n">
        <v>71.51759999999999</v>
      </c>
      <c r="R394" s="69" t="n">
        <v>0.8464489859838698</v>
      </c>
    </row>
    <row r="395">
      <c r="A395" s="64" t="n">
        <v>19</v>
      </c>
      <c r="B395" s="64" t="n">
        <v>10</v>
      </c>
      <c r="C395" s="64" t="inlineStr">
        <is>
          <t>RESEAL VALVES</t>
        </is>
      </c>
      <c r="D395" s="64" t="inlineStr">
        <is>
          <t>427-S33-1810</t>
        </is>
      </c>
      <c r="E395" s="64" t="inlineStr">
        <is>
          <t>O-RING</t>
        </is>
      </c>
      <c r="F395" s="65" t="n">
        <v>1</v>
      </c>
      <c r="G395" s="66" t="n">
        <v>26.54</v>
      </c>
      <c r="H395" s="66" t="n">
        <v>26.54</v>
      </c>
      <c r="I395" s="66" t="n">
        <v>21.05028920436307</v>
      </c>
      <c r="J395" s="66" t="n">
        <v>21.05028920436307</v>
      </c>
      <c r="K395" s="66" t="n">
        <v>24.4168</v>
      </c>
      <c r="L395" s="66" t="n">
        <v>24.4168</v>
      </c>
      <c r="M395" s="67" t="n">
        <v>3.366510795636927</v>
      </c>
      <c r="N395" s="68" t="inlineStr">
        <is>
          <t>MATCH</t>
        </is>
      </c>
      <c r="O395" s="64" t="inlineStr"/>
      <c r="P395" s="66" t="n">
        <v>31.35717391304348</v>
      </c>
      <c r="Q395" s="66" t="n">
        <v>28.8486</v>
      </c>
      <c r="R395" s="69" t="n">
        <v>0.8463772938721462</v>
      </c>
    </row>
    <row r="396">
      <c r="A396" s="64" t="n">
        <v>19</v>
      </c>
      <c r="B396" s="64" t="n">
        <v>10</v>
      </c>
      <c r="C396" s="64" t="inlineStr">
        <is>
          <t>RESEAL VALVES</t>
        </is>
      </c>
      <c r="D396" s="64" t="inlineStr">
        <is>
          <t>427-S33-1820</t>
        </is>
      </c>
      <c r="E396" s="64" t="inlineStr">
        <is>
          <t>O-RING</t>
        </is>
      </c>
      <c r="F396" s="65" t="n">
        <v>2</v>
      </c>
      <c r="G396" s="66" t="n">
        <v>28.85</v>
      </c>
      <c r="H396" s="66" t="n">
        <v>57.7</v>
      </c>
      <c r="I396" s="66" t="n">
        <v>22.88247338153258</v>
      </c>
      <c r="J396" s="66" t="n">
        <v>45.76494676306516</v>
      </c>
      <c r="K396" s="66" t="n">
        <v>26.542</v>
      </c>
      <c r="L396" s="66" t="n">
        <v>53.084</v>
      </c>
      <c r="M396" s="67" t="n">
        <v>7.319053236934842</v>
      </c>
      <c r="N396" s="68" t="inlineStr">
        <is>
          <t>MATCH</t>
        </is>
      </c>
      <c r="O396" s="64" t="inlineStr"/>
      <c r="P396" s="66" t="n">
        <v>34.07967391304348</v>
      </c>
      <c r="Q396" s="66" t="n">
        <v>31.3533</v>
      </c>
      <c r="R396" s="69" t="n">
        <v>0.8465456586706982</v>
      </c>
    </row>
    <row r="397">
      <c r="A397" s="64" t="n">
        <v>19</v>
      </c>
      <c r="B397" s="64" t="n">
        <v>10</v>
      </c>
      <c r="C397" s="64" t="inlineStr">
        <is>
          <t>RESEAL VALVES</t>
        </is>
      </c>
      <c r="D397" s="64" t="inlineStr">
        <is>
          <t>427-S33-1830</t>
        </is>
      </c>
      <c r="E397" s="64" t="inlineStr">
        <is>
          <t>O-RING</t>
        </is>
      </c>
      <c r="F397" s="65" t="n">
        <v>2</v>
      </c>
      <c r="G397" s="66" t="n">
        <v>29.18</v>
      </c>
      <c r="H397" s="66" t="n">
        <v>58.36</v>
      </c>
      <c r="I397" s="66" t="n">
        <v>23.14421397827108</v>
      </c>
      <c r="J397" s="66" t="n">
        <v>46.28842795654217</v>
      </c>
      <c r="K397" s="66" t="n">
        <v>26.8456</v>
      </c>
      <c r="L397" s="66" t="n">
        <v>53.6912</v>
      </c>
      <c r="M397" s="67" t="n">
        <v>7.402772043457837</v>
      </c>
      <c r="N397" s="68" t="inlineStr">
        <is>
          <t>MATCH</t>
        </is>
      </c>
      <c r="O397" s="64" t="inlineStr"/>
      <c r="P397" s="66" t="n">
        <v>34.47782608695652</v>
      </c>
      <c r="Q397" s="66" t="n">
        <v>31.7196</v>
      </c>
      <c r="R397" s="69" t="n">
        <v>0.8463410635695281</v>
      </c>
    </row>
    <row r="398">
      <c r="A398" s="64" t="n">
        <v>19</v>
      </c>
      <c r="B398" s="64" t="n">
        <v>10</v>
      </c>
      <c r="C398" s="64" t="inlineStr">
        <is>
          <t>RESEAL VALVES</t>
        </is>
      </c>
      <c r="D398" s="64" t="inlineStr">
        <is>
          <t>427-S33-1840</t>
        </is>
      </c>
      <c r="E398" s="64" t="inlineStr">
        <is>
          <t>O-RING</t>
        </is>
      </c>
      <c r="F398" s="65" t="n">
        <v>2</v>
      </c>
      <c r="G398" s="66" t="n">
        <v>30.42</v>
      </c>
      <c r="H398" s="66" t="n">
        <v>60.84</v>
      </c>
      <c r="I398" s="66" t="n">
        <v>24.12772409934908</v>
      </c>
      <c r="J398" s="66" t="n">
        <v>48.25544819869817</v>
      </c>
      <c r="K398" s="66" t="n">
        <v>27.9864</v>
      </c>
      <c r="L398" s="66" t="n">
        <v>55.97280000000001</v>
      </c>
      <c r="M398" s="67" t="n">
        <v>7.717351801301838</v>
      </c>
      <c r="N398" s="68" t="inlineStr">
        <is>
          <t>MATCH</t>
        </is>
      </c>
      <c r="O398" s="64" t="inlineStr"/>
      <c r="P398" s="66" t="n">
        <v>36.29641304347826</v>
      </c>
      <c r="Q398" s="66" t="n">
        <v>33.3927</v>
      </c>
      <c r="R398" s="69" t="n">
        <v>0.8380993450664367</v>
      </c>
    </row>
    <row r="399">
      <c r="A399" s="64" t="n">
        <v>19</v>
      </c>
      <c r="B399" s="64" t="n">
        <v>10</v>
      </c>
      <c r="C399" s="64" t="inlineStr">
        <is>
          <t>RESEAL VALVES</t>
        </is>
      </c>
      <c r="D399" s="64" t="inlineStr">
        <is>
          <t>427-S33-1850</t>
        </is>
      </c>
      <c r="E399" s="64" t="inlineStr">
        <is>
          <t>O-RING</t>
        </is>
      </c>
      <c r="F399" s="65" t="n">
        <v>1</v>
      </c>
      <c r="G399" s="66" t="n">
        <v>39.48</v>
      </c>
      <c r="H399" s="66" t="n">
        <v>39.48</v>
      </c>
      <c r="I399" s="66" t="n">
        <v>31.31369320980611</v>
      </c>
      <c r="J399" s="66" t="n">
        <v>31.31369320980611</v>
      </c>
      <c r="K399" s="66" t="n">
        <v>36.3216</v>
      </c>
      <c r="L399" s="66" t="n">
        <v>36.3216</v>
      </c>
      <c r="M399" s="67" t="n">
        <v>5.007906790193889</v>
      </c>
      <c r="N399" s="68" t="inlineStr">
        <is>
          <t>MATCH</t>
        </is>
      </c>
      <c r="O399" s="64" t="inlineStr"/>
      <c r="P399" s="66" t="n">
        <v>46.64836956521739</v>
      </c>
      <c r="Q399" s="66" t="n">
        <v>42.9165</v>
      </c>
      <c r="R399" s="69" t="n">
        <v>0.8463318304148755</v>
      </c>
    </row>
    <row r="400">
      <c r="A400" s="64" t="n">
        <v>19</v>
      </c>
      <c r="B400" s="64" t="n">
        <v>10</v>
      </c>
      <c r="C400" s="64" t="inlineStr">
        <is>
          <t>RESEAL VALVES</t>
        </is>
      </c>
      <c r="D400" s="64" t="inlineStr">
        <is>
          <t>427-S33-1860</t>
        </is>
      </c>
      <c r="E400" s="64" t="inlineStr">
        <is>
          <t>O-RING</t>
        </is>
      </c>
      <c r="F400" s="65" t="n">
        <v>2</v>
      </c>
      <c r="G400" s="66" t="n">
        <v>28.34</v>
      </c>
      <c r="H400" s="66" t="n">
        <v>56.68</v>
      </c>
      <c r="I400" s="66" t="n">
        <v>22.47796518657308</v>
      </c>
      <c r="J400" s="66" t="n">
        <v>44.95593037314616</v>
      </c>
      <c r="K400" s="66" t="n">
        <v>26.0728</v>
      </c>
      <c r="L400" s="66" t="n">
        <v>52.1456</v>
      </c>
      <c r="M400" s="67" t="n">
        <v>7.189669626853842</v>
      </c>
      <c r="N400" s="68" t="inlineStr">
        <is>
          <t>MATCH</t>
        </is>
      </c>
      <c r="O400" s="64" t="inlineStr"/>
      <c r="P400" s="66" t="n">
        <v>33.81065217391304</v>
      </c>
      <c r="Q400" s="66" t="n">
        <v>31.1058</v>
      </c>
      <c r="R400" s="69" t="n">
        <v>0.8381973779809554</v>
      </c>
    </row>
    <row r="401">
      <c r="A401" s="64" t="n">
        <v>19</v>
      </c>
      <c r="B401" s="64" t="n">
        <v>10</v>
      </c>
      <c r="C401" s="64" t="inlineStr">
        <is>
          <t>RESEAL VALVES</t>
        </is>
      </c>
      <c r="D401" s="64" t="inlineStr">
        <is>
          <t>427-S33-1870</t>
        </is>
      </c>
      <c r="E401" s="64" t="inlineStr">
        <is>
          <t>O-RING</t>
        </is>
      </c>
      <c r="F401" s="65" t="n">
        <v>1</v>
      </c>
      <c r="G401" s="66" t="n">
        <v>27.45</v>
      </c>
      <c r="H401" s="66" t="n">
        <v>27.45</v>
      </c>
      <c r="I401" s="66" t="n">
        <v>21.77205872870258</v>
      </c>
      <c r="J401" s="66" t="n">
        <v>21.77205872870258</v>
      </c>
      <c r="K401" s="66" t="n">
        <v>25.254</v>
      </c>
      <c r="L401" s="66" t="n">
        <v>25.254</v>
      </c>
      <c r="M401" s="67" t="n">
        <v>3.481941271297426</v>
      </c>
      <c r="N401" s="68" t="inlineStr">
        <is>
          <t>MATCH</t>
        </is>
      </c>
      <c r="O401" s="64" t="inlineStr"/>
      <c r="P401" s="66" t="n">
        <v>32.74532608695652</v>
      </c>
      <c r="Q401" s="66" t="n">
        <v>30.1257</v>
      </c>
      <c r="R401" s="69" t="n">
        <v>0.8382875750604967</v>
      </c>
    </row>
    <row r="402">
      <c r="A402" s="64" t="n">
        <v>19</v>
      </c>
      <c r="B402" s="64" t="n">
        <v>10</v>
      </c>
      <c r="C402" s="64" t="inlineStr">
        <is>
          <t>RESEAL VALVES</t>
        </is>
      </c>
      <c r="D402" s="64" t="inlineStr">
        <is>
          <t>427-S33-1880</t>
        </is>
      </c>
      <c r="E402" s="64" t="inlineStr">
        <is>
          <t>O-RING</t>
        </is>
      </c>
      <c r="F402" s="65" t="n">
        <v>1</v>
      </c>
      <c r="G402" s="66" t="n">
        <v>28.6</v>
      </c>
      <c r="H402" s="66" t="n">
        <v>28.6</v>
      </c>
      <c r="I402" s="66" t="n">
        <v>22.68418505067008</v>
      </c>
      <c r="J402" s="66" t="n">
        <v>22.68418505067008</v>
      </c>
      <c r="K402" s="66" t="n">
        <v>26.312</v>
      </c>
      <c r="L402" s="66" t="n">
        <v>26.312</v>
      </c>
      <c r="M402" s="67" t="n">
        <v>3.62781494932992</v>
      </c>
      <c r="N402" s="68" t="inlineStr">
        <is>
          <t>MATCH</t>
        </is>
      </c>
      <c r="O402" s="64" t="inlineStr"/>
      <c r="P402" s="66" t="n">
        <v>33.78913043478261</v>
      </c>
      <c r="Q402" s="66" t="n">
        <v>31.086</v>
      </c>
      <c r="R402" s="69" t="n">
        <v>0.8464260438782732</v>
      </c>
    </row>
    <row r="403">
      <c r="A403" s="64" t="n">
        <v>19</v>
      </c>
      <c r="B403" s="64" t="n">
        <v>10</v>
      </c>
      <c r="C403" s="64" t="inlineStr">
        <is>
          <t>RESEAL VALVES</t>
        </is>
      </c>
      <c r="D403" s="64" t="inlineStr">
        <is>
          <t>700-22-11410</t>
        </is>
      </c>
      <c r="E403" s="64" t="inlineStr">
        <is>
          <t>O-RING</t>
        </is>
      </c>
      <c r="F403" s="65" t="n">
        <v>2</v>
      </c>
      <c r="G403" s="66" t="n">
        <v>4.56</v>
      </c>
      <c r="H403" s="66" t="n">
        <v>9.119999999999999</v>
      </c>
      <c r="I403" s="66" t="n">
        <v>3.616779154932012</v>
      </c>
      <c r="J403" s="66" t="n">
        <v>7.233558309864025</v>
      </c>
      <c r="K403" s="66" t="n">
        <v>4.1952</v>
      </c>
      <c r="L403" s="66" t="n">
        <v>8.3904</v>
      </c>
      <c r="M403" s="67" t="n">
        <v>1.156841690135975</v>
      </c>
      <c r="N403" s="68" t="inlineStr">
        <is>
          <t>MATCH</t>
        </is>
      </c>
      <c r="O403" s="64" t="inlineStr"/>
      <c r="P403" s="66" t="n">
        <v>5.025326086956521</v>
      </c>
      <c r="Q403" s="66" t="n">
        <v>4.6233</v>
      </c>
      <c r="R403" s="69" t="n">
        <v>0.9074038024787491</v>
      </c>
    </row>
    <row r="404">
      <c r="A404" s="64" t="n">
        <v>19</v>
      </c>
      <c r="B404" s="64" t="n">
        <v>10</v>
      </c>
      <c r="C404" s="64" t="inlineStr">
        <is>
          <t>RESEAL VALVES</t>
        </is>
      </c>
      <c r="D404" s="64" t="inlineStr">
        <is>
          <t>700-94-11260</t>
        </is>
      </c>
      <c r="E404" s="64" t="inlineStr">
        <is>
          <t>PLUG</t>
        </is>
      </c>
      <c r="F404" s="65" t="n">
        <v>1</v>
      </c>
      <c r="G404" s="66" t="n">
        <v>63.74</v>
      </c>
      <c r="H404" s="66" t="n">
        <v>63.74</v>
      </c>
      <c r="I404" s="66" t="n">
        <v>50.55559283670318</v>
      </c>
      <c r="J404" s="66" t="n">
        <v>50.55559283670318</v>
      </c>
      <c r="K404" s="66" t="n">
        <v>58.64080000000001</v>
      </c>
      <c r="L404" s="66" t="n">
        <v>58.64080000000001</v>
      </c>
      <c r="M404" s="67" t="n">
        <v>8.085207163296829</v>
      </c>
      <c r="N404" s="68" t="inlineStr">
        <is>
          <t>MATCH</t>
        </is>
      </c>
      <c r="O404" s="64" t="inlineStr"/>
      <c r="P404" s="66" t="n">
        <v>82.03010869565217</v>
      </c>
      <c r="Q404" s="66" t="n">
        <v>75.46770000000001</v>
      </c>
      <c r="R404" s="69" t="n">
        <v>0.7770317632576585</v>
      </c>
    </row>
    <row r="405">
      <c r="A405" s="64" t="n">
        <v>19</v>
      </c>
      <c r="B405" s="64" t="n">
        <v>10</v>
      </c>
      <c r="C405" s="64" t="inlineStr">
        <is>
          <t>RESEAL VALVES</t>
        </is>
      </c>
      <c r="D405" s="64" t="inlineStr">
        <is>
          <t>700-94-55000</t>
        </is>
      </c>
      <c r="E405" s="64" t="inlineStr">
        <is>
          <t>RELIEF VALVE</t>
        </is>
      </c>
      <c r="F405" s="65" t="n">
        <v>1</v>
      </c>
      <c r="G405" s="66" t="n">
        <v>522.74</v>
      </c>
      <c r="H405" s="66" t="n">
        <v>522.74</v>
      </c>
      <c r="I405" s="66" t="n">
        <v>414.6129683002545</v>
      </c>
      <c r="J405" s="66" t="n">
        <v>414.6129683002545</v>
      </c>
      <c r="K405" s="66" t="n">
        <v>480.9208</v>
      </c>
      <c r="L405" s="66" t="n">
        <v>480.9208</v>
      </c>
      <c r="M405" s="67" t="n">
        <v>66.30783169974558</v>
      </c>
      <c r="N405" s="68" t="inlineStr">
        <is>
          <t>MATCH</t>
        </is>
      </c>
      <c r="O405" s="64" t="inlineStr"/>
      <c r="P405" s="66" t="n">
        <v>672.7695652173913</v>
      </c>
      <c r="Q405" s="66" t="n">
        <v>618.9480000000001</v>
      </c>
      <c r="R405" s="69" t="n">
        <v>0.7769970983022806</v>
      </c>
    </row>
    <row r="406">
      <c r="A406" s="64" t="n">
        <v>19</v>
      </c>
      <c r="B406" s="64" t="n">
        <v>10</v>
      </c>
      <c r="C406" s="64" t="inlineStr">
        <is>
          <t>RESEAL VALVES</t>
        </is>
      </c>
      <c r="D406" s="64" t="inlineStr">
        <is>
          <t>707-34-10150</t>
        </is>
      </c>
      <c r="E406" s="64" t="inlineStr">
        <is>
          <t>O-RING</t>
        </is>
      </c>
      <c r="F406" s="65" t="n">
        <v>4</v>
      </c>
      <c r="G406" s="66" t="n">
        <v>21.78</v>
      </c>
      <c r="H406" s="66" t="n">
        <v>87.12</v>
      </c>
      <c r="I406" s="66" t="n">
        <v>17.27487938474106</v>
      </c>
      <c r="J406" s="66" t="n">
        <v>69.09951753896425</v>
      </c>
      <c r="K406" s="66" t="n">
        <v>20.0376</v>
      </c>
      <c r="L406" s="66" t="n">
        <v>80.1504</v>
      </c>
      <c r="M406" s="67" t="n">
        <v>11.05088246103576</v>
      </c>
      <c r="N406" s="68" t="inlineStr">
        <is>
          <t>MATCH</t>
        </is>
      </c>
      <c r="O406" s="64" t="inlineStr"/>
      <c r="P406" s="66" t="n">
        <v>26.95597826086957</v>
      </c>
      <c r="Q406" s="66" t="n">
        <v>24.7995</v>
      </c>
      <c r="R406" s="69" t="n">
        <v>0.8079840319361277</v>
      </c>
    </row>
    <row r="407">
      <c r="A407" s="64" t="n">
        <v>19</v>
      </c>
      <c r="B407" s="64" t="n">
        <v>10</v>
      </c>
      <c r="C407" s="64" t="inlineStr">
        <is>
          <t>RESEAL VALVES</t>
        </is>
      </c>
      <c r="D407" s="64" t="inlineStr">
        <is>
          <t>709-12-11520</t>
        </is>
      </c>
      <c r="E407" s="64" t="inlineStr">
        <is>
          <t>SEAL</t>
        </is>
      </c>
      <c r="F407" s="65" t="n">
        <v>2</v>
      </c>
      <c r="G407" s="66" t="n">
        <v>28.55</v>
      </c>
      <c r="H407" s="66" t="n">
        <v>57.1</v>
      </c>
      <c r="I407" s="66" t="n">
        <v>22.64452738449758</v>
      </c>
      <c r="J407" s="66" t="n">
        <v>45.28905476899516</v>
      </c>
      <c r="K407" s="66" t="n">
        <v>26.266</v>
      </c>
      <c r="L407" s="66" t="n">
        <v>52.532</v>
      </c>
      <c r="M407" s="67" t="n">
        <v>7.242945231004846</v>
      </c>
      <c r="N407" s="68" t="inlineStr">
        <is>
          <t>MATCH</t>
        </is>
      </c>
      <c r="O407" s="64" t="inlineStr"/>
      <c r="P407" s="66" t="n">
        <v>32.43326086956522</v>
      </c>
      <c r="Q407" s="66" t="n">
        <v>29.8386</v>
      </c>
      <c r="R407" s="69" t="n">
        <v>0.8802691815299646</v>
      </c>
    </row>
    <row r="408">
      <c r="A408" s="64" t="n">
        <v>19</v>
      </c>
      <c r="B408" s="64" t="n">
        <v>10</v>
      </c>
      <c r="C408" s="64" t="inlineStr">
        <is>
          <t>RESEAL VALVES</t>
        </is>
      </c>
      <c r="D408" s="64" t="inlineStr">
        <is>
          <t>721-47-12120</t>
        </is>
      </c>
      <c r="E408" s="64" t="inlineStr">
        <is>
          <t>PACKING</t>
        </is>
      </c>
      <c r="F408" s="65" t="n">
        <v>4</v>
      </c>
      <c r="G408" s="66" t="n">
        <v>362.38</v>
      </c>
      <c r="H408" s="66" t="n">
        <v>1449.52</v>
      </c>
      <c r="I408" s="66" t="n">
        <v>287.422901351812</v>
      </c>
      <c r="J408" s="66" t="n">
        <v>1149.691605407248</v>
      </c>
      <c r="K408" s="66" t="n">
        <v>333.3896</v>
      </c>
      <c r="L408" s="66" t="n">
        <v>1333.5584</v>
      </c>
      <c r="M408" s="67" t="n">
        <v>183.8667945927521</v>
      </c>
      <c r="N408" s="68" t="inlineStr">
        <is>
          <t>MATCH</t>
        </is>
      </c>
      <c r="O408" s="64" t="inlineStr"/>
      <c r="P408" s="66" t="n">
        <v>448.4484782608696</v>
      </c>
      <c r="Q408" s="66" t="n">
        <v>412.5726</v>
      </c>
      <c r="R408" s="69" t="n">
        <v>0.8080749909228097</v>
      </c>
    </row>
    <row r="409">
      <c r="A409" s="64" t="n">
        <v>19</v>
      </c>
      <c r="B409" s="64" t="n">
        <v>10</v>
      </c>
      <c r="C409" s="64" t="inlineStr">
        <is>
          <t>RESEAL VALVES</t>
        </is>
      </c>
      <c r="D409" s="64" t="inlineStr">
        <is>
          <t>721-47-12130</t>
        </is>
      </c>
      <c r="E409" s="64" t="inlineStr">
        <is>
          <t>SEAL</t>
        </is>
      </c>
      <c r="F409" s="65" t="n">
        <v>4</v>
      </c>
      <c r="G409" s="66" t="n">
        <v>203.56</v>
      </c>
      <c r="H409" s="66" t="n">
        <v>814.24</v>
      </c>
      <c r="I409" s="66" t="n">
        <v>161.4542905214826</v>
      </c>
      <c r="J409" s="66" t="n">
        <v>645.8171620859302</v>
      </c>
      <c r="K409" s="66" t="n">
        <v>187.2752</v>
      </c>
      <c r="L409" s="66" t="n">
        <v>749.1008</v>
      </c>
      <c r="M409" s="67" t="n">
        <v>103.2836379140698</v>
      </c>
      <c r="N409" s="68" t="inlineStr">
        <is>
          <t>MATCH</t>
        </is>
      </c>
      <c r="O409" s="64" t="inlineStr"/>
      <c r="P409" s="66" t="n">
        <v>251.9011956521739</v>
      </c>
      <c r="Q409" s="66" t="n">
        <v>231.7491</v>
      </c>
      <c r="R409" s="69" t="n">
        <v>0.8080946161171716</v>
      </c>
    </row>
    <row r="410">
      <c r="A410" s="64" t="n">
        <v>19</v>
      </c>
      <c r="B410" s="64" t="n">
        <v>10</v>
      </c>
      <c r="C410" s="64" t="inlineStr">
        <is>
          <t>RESEAL VALVES</t>
        </is>
      </c>
      <c r="D410" s="64" t="inlineStr">
        <is>
          <t>721-89-12011</t>
        </is>
      </c>
      <c r="E410" s="64" t="inlineStr">
        <is>
          <t>VALVE</t>
        </is>
      </c>
      <c r="F410" s="65" t="n">
        <v>4</v>
      </c>
      <c r="G410" s="66" t="n">
        <v>76.78</v>
      </c>
      <c r="H410" s="66" t="n">
        <v>307.12</v>
      </c>
      <c r="I410" s="66" t="n">
        <v>60.89831217449122</v>
      </c>
      <c r="J410" s="66" t="n">
        <v>243.5932486979649</v>
      </c>
      <c r="K410" s="66" t="n">
        <v>70.63760000000001</v>
      </c>
      <c r="L410" s="66" t="n">
        <v>282.5504</v>
      </c>
      <c r="M410" s="67" t="n">
        <v>38.95715130203516</v>
      </c>
      <c r="N410" s="68" t="inlineStr">
        <is>
          <t>MATCH</t>
        </is>
      </c>
      <c r="O410" s="64" t="inlineStr"/>
      <c r="P410" s="66" t="n">
        <v>95.00771739130434</v>
      </c>
      <c r="Q410" s="66" t="n">
        <v>87.4071</v>
      </c>
      <c r="R410" s="69" t="n">
        <v>0.8081448761027423</v>
      </c>
    </row>
    <row r="411">
      <c r="A411" s="64" t="n">
        <v>20</v>
      </c>
      <c r="B411" s="64" t="n">
        <v>12</v>
      </c>
      <c r="C411" s="64" t="inlineStr">
        <is>
          <t>REMOVE/INSTALL WORK EQUIPMENT</t>
        </is>
      </c>
      <c r="D411" s="64" t="inlineStr">
        <is>
          <t>01010-62035</t>
        </is>
      </c>
      <c r="E411" s="64" t="inlineStr">
        <is>
          <t>BOLT</t>
        </is>
      </c>
      <c r="F411" s="65" t="n">
        <v>4</v>
      </c>
      <c r="G411" s="66" t="n">
        <v>9.67</v>
      </c>
      <c r="H411" s="66" t="n">
        <v>38.68</v>
      </c>
      <c r="I411" s="66" t="n">
        <v>7.669792637761526</v>
      </c>
      <c r="J411" s="66" t="n">
        <v>30.67917055104611</v>
      </c>
      <c r="K411" s="66" t="n">
        <v>8.8964</v>
      </c>
      <c r="L411" s="66" t="n">
        <v>35.5856</v>
      </c>
      <c r="M411" s="67" t="n">
        <v>4.906429448953894</v>
      </c>
      <c r="N411" s="68" t="inlineStr">
        <is>
          <t>MATCH</t>
        </is>
      </c>
      <c r="O411" s="64" t="inlineStr"/>
      <c r="P411" s="66" t="n">
        <v>11.84771739130435</v>
      </c>
      <c r="Q411" s="66" t="n">
        <v>10.8999</v>
      </c>
      <c r="R411" s="69" t="n">
        <v>0.8161909742291215</v>
      </c>
    </row>
    <row r="412">
      <c r="A412" s="64" t="n">
        <v>20</v>
      </c>
      <c r="B412" s="64" t="n">
        <v>12</v>
      </c>
      <c r="C412" s="64" t="inlineStr">
        <is>
          <t>REMOVE/INSTALL WORK EQUIPMENT</t>
        </is>
      </c>
      <c r="D412" s="64" t="inlineStr">
        <is>
          <t>01596-00606</t>
        </is>
      </c>
      <c r="E412" s="64" t="inlineStr">
        <is>
          <t>NUT</t>
        </is>
      </c>
      <c r="F412" s="65" t="n">
        <v>8</v>
      </c>
      <c r="G412" s="66" t="n">
        <v>0.89</v>
      </c>
      <c r="H412" s="66" t="n">
        <v>7.12</v>
      </c>
      <c r="I412" s="66" t="n">
        <v>0.7059064578705024</v>
      </c>
      <c r="J412" s="66" t="n">
        <v>5.647251662964019</v>
      </c>
      <c r="K412" s="66" t="n">
        <v>0.8188000000000001</v>
      </c>
      <c r="L412" s="66" t="n">
        <v>6.550400000000001</v>
      </c>
      <c r="M412" s="67" t="n">
        <v>0.9031483370359812</v>
      </c>
      <c r="N412" s="68" t="inlineStr">
        <is>
          <t>MATCH</t>
        </is>
      </c>
      <c r="O412" s="64" t="inlineStr"/>
      <c r="P412" s="66" t="n">
        <v>1.129891304347826</v>
      </c>
      <c r="Q412" s="66" t="n">
        <v>1.0395</v>
      </c>
      <c r="R412" s="69" t="n">
        <v>0.7876863876863878</v>
      </c>
    </row>
    <row r="413">
      <c r="A413" s="64" t="n">
        <v>20</v>
      </c>
      <c r="B413" s="64" t="n">
        <v>12</v>
      </c>
      <c r="C413" s="64" t="inlineStr">
        <is>
          <t>REMOVE/INSTALL WORK EQUIPMENT</t>
        </is>
      </c>
      <c r="D413" s="64" t="inlineStr">
        <is>
          <t>01640-20610</t>
        </is>
      </c>
      <c r="E413" s="64" t="inlineStr">
        <is>
          <t>WASHER</t>
        </is>
      </c>
      <c r="F413" s="65" t="n">
        <v>4</v>
      </c>
      <c r="G413" s="66" t="n">
        <v>0.45</v>
      </c>
      <c r="H413" s="66" t="n">
        <v>1.8</v>
      </c>
      <c r="I413" s="66" t="n">
        <v>0.3569189955525013</v>
      </c>
      <c r="J413" s="66" t="n">
        <v>1.427675982210005</v>
      </c>
      <c r="K413" s="66" t="n">
        <v>0.414</v>
      </c>
      <c r="L413" s="66" t="n">
        <v>1.656</v>
      </c>
      <c r="M413" s="67" t="n">
        <v>0.228324017789995</v>
      </c>
      <c r="N413" s="68" t="inlineStr">
        <is>
          <t>MATCH</t>
        </is>
      </c>
      <c r="O413" s="64" t="inlineStr"/>
      <c r="P413" s="66" t="n">
        <v>0.5595652173913044</v>
      </c>
      <c r="Q413" s="66" t="n">
        <v>0.5148</v>
      </c>
      <c r="R413" s="69" t="n">
        <v>0.8041958041958042</v>
      </c>
    </row>
    <row r="414">
      <c r="A414" s="64" t="n">
        <v>20</v>
      </c>
      <c r="B414" s="64" t="n">
        <v>12</v>
      </c>
      <c r="C414" s="64" t="inlineStr">
        <is>
          <t>REMOVE/INSTALL WORK EQUIPMENT</t>
        </is>
      </c>
      <c r="D414" s="64" t="inlineStr">
        <is>
          <t>426-09-11150</t>
        </is>
      </c>
      <c r="E414" s="64" t="inlineStr">
        <is>
          <t>BOLT</t>
        </is>
      </c>
      <c r="F414" s="65" t="n">
        <v>4</v>
      </c>
      <c r="G414" s="66" t="n">
        <v>8.48</v>
      </c>
      <c r="H414" s="66" t="n">
        <v>33.92</v>
      </c>
      <c r="I414" s="66" t="n">
        <v>6.725940182856024</v>
      </c>
      <c r="J414" s="66" t="n">
        <v>26.9037607314241</v>
      </c>
      <c r="K414" s="66" t="n">
        <v>7.801600000000001</v>
      </c>
      <c r="L414" s="66" t="n">
        <v>31.2064</v>
      </c>
      <c r="M414" s="67" t="n">
        <v>4.302639268575906</v>
      </c>
      <c r="N414" s="68" t="inlineStr">
        <is>
          <t>MATCH</t>
        </is>
      </c>
      <c r="O414" s="64" t="inlineStr"/>
      <c r="P414" s="66" t="n">
        <v>10.38423913043478</v>
      </c>
      <c r="Q414" s="66" t="n">
        <v>9.5535</v>
      </c>
      <c r="R414" s="69" t="n">
        <v>0.8166221803527504</v>
      </c>
    </row>
    <row r="415">
      <c r="A415" s="64" t="n">
        <v>20</v>
      </c>
      <c r="B415" s="64" t="n">
        <v>12</v>
      </c>
      <c r="C415" s="64" t="inlineStr">
        <is>
          <t>REMOVE/INSTALL WORK EQUIPMENT</t>
        </is>
      </c>
      <c r="D415" s="64" t="inlineStr">
        <is>
          <t>427-09-11120</t>
        </is>
      </c>
      <c r="E415" s="64" t="inlineStr">
        <is>
          <t>DUST SEAL</t>
        </is>
      </c>
      <c r="F415" s="65" t="n">
        <v>6</v>
      </c>
      <c r="G415" s="66" t="n">
        <v>109.29</v>
      </c>
      <c r="H415" s="66" t="n">
        <v>655.74</v>
      </c>
      <c r="I415" s="66" t="n">
        <v>86.68372671985081</v>
      </c>
      <c r="J415" s="66" t="n">
        <v>520.1023603191048</v>
      </c>
      <c r="K415" s="66" t="n">
        <v>100.5468</v>
      </c>
      <c r="L415" s="66" t="n">
        <v>603.2808</v>
      </c>
      <c r="M415" s="67" t="n">
        <v>83.17843968089517</v>
      </c>
      <c r="N415" s="68" t="inlineStr">
        <is>
          <t>MATCH</t>
        </is>
      </c>
      <c r="O415" s="64" t="inlineStr"/>
      <c r="P415" s="66" t="n">
        <v>133.9297826086956</v>
      </c>
      <c r="Q415" s="66" t="n">
        <v>123.2154</v>
      </c>
      <c r="R415" s="69" t="n">
        <v>0.8160246202990862</v>
      </c>
    </row>
    <row r="416">
      <c r="A416" s="64" t="n">
        <v>20</v>
      </c>
      <c r="B416" s="64" t="n">
        <v>12</v>
      </c>
      <c r="C416" s="64" t="inlineStr">
        <is>
          <t>REMOVE/INSTALL WORK EQUIPMENT</t>
        </is>
      </c>
      <c r="D416" s="64" t="inlineStr">
        <is>
          <t>427-70-11290</t>
        </is>
      </c>
      <c r="E416" s="64" t="inlineStr">
        <is>
          <t>WASHER</t>
        </is>
      </c>
      <c r="F416" s="65" t="n">
        <v>8</v>
      </c>
      <c r="G416" s="66" t="n">
        <v>16.52</v>
      </c>
      <c r="H416" s="66" t="n">
        <v>132.16</v>
      </c>
      <c r="I416" s="66" t="n">
        <v>13.10289290339405</v>
      </c>
      <c r="J416" s="66" t="n">
        <v>104.8231432271524</v>
      </c>
      <c r="K416" s="66" t="n">
        <v>15.1984</v>
      </c>
      <c r="L416" s="66" t="n">
        <v>121.5872</v>
      </c>
      <c r="M416" s="67" t="n">
        <v>16.76405677284762</v>
      </c>
      <c r="N416" s="68" t="inlineStr">
        <is>
          <t>MATCH</t>
        </is>
      </c>
      <c r="O416" s="64" t="inlineStr"/>
      <c r="P416" s="66" t="n">
        <v>21.89836956521739</v>
      </c>
      <c r="Q416" s="66" t="n">
        <v>20.1465</v>
      </c>
      <c r="R416" s="69" t="n">
        <v>0.7543940634849726</v>
      </c>
    </row>
    <row r="417">
      <c r="A417" s="64" t="n">
        <v>20</v>
      </c>
      <c r="B417" s="64" t="n">
        <v>12</v>
      </c>
      <c r="C417" s="64" t="inlineStr">
        <is>
          <t>REMOVE/INSTALL WORK EQUIPMENT</t>
        </is>
      </c>
      <c r="D417" s="64" t="inlineStr">
        <is>
          <t>427-70-11440</t>
        </is>
      </c>
      <c r="E417" s="64" t="inlineStr">
        <is>
          <t>SHIM</t>
        </is>
      </c>
      <c r="F417" s="65" t="n">
        <v>4</v>
      </c>
      <c r="G417" s="66" t="n">
        <v>46.52</v>
      </c>
      <c r="H417" s="66" t="n">
        <v>186.08</v>
      </c>
      <c r="I417" s="66" t="n">
        <v>36.89749260689413</v>
      </c>
      <c r="J417" s="66" t="n">
        <v>147.5899704275765</v>
      </c>
      <c r="K417" s="66" t="n">
        <v>42.79840000000001</v>
      </c>
      <c r="L417" s="66" t="n">
        <v>171.1936</v>
      </c>
      <c r="M417" s="67" t="n">
        <v>23.6036295724235</v>
      </c>
      <c r="N417" s="68" t="inlineStr">
        <is>
          <t>MATCH</t>
        </is>
      </c>
      <c r="O417" s="64" t="inlineStr"/>
      <c r="P417" s="66" t="n">
        <v>57.02184782608696</v>
      </c>
      <c r="Q417" s="66" t="n">
        <v>52.4601</v>
      </c>
      <c r="R417" s="69" t="n">
        <v>0.8158276480601447</v>
      </c>
    </row>
    <row r="418">
      <c r="A418" s="64" t="n">
        <v>20</v>
      </c>
      <c r="B418" s="64" t="n">
        <v>12</v>
      </c>
      <c r="C418" s="64" t="inlineStr">
        <is>
          <t>REMOVE/INSTALL WORK EQUIPMENT</t>
        </is>
      </c>
      <c r="D418" s="64" t="inlineStr">
        <is>
          <t>427-70-11450</t>
        </is>
      </c>
      <c r="E418" s="64" t="inlineStr">
        <is>
          <t>SHIM</t>
        </is>
      </c>
      <c r="F418" s="65" t="n">
        <v>4</v>
      </c>
      <c r="G418" s="66" t="n">
        <v>61.36</v>
      </c>
      <c r="H418" s="66" t="n">
        <v>245.44</v>
      </c>
      <c r="I418" s="66" t="n">
        <v>48.66788792689217</v>
      </c>
      <c r="J418" s="66" t="n">
        <v>194.6715517075687</v>
      </c>
      <c r="K418" s="66" t="n">
        <v>56.4512</v>
      </c>
      <c r="L418" s="66" t="n">
        <v>225.8048</v>
      </c>
      <c r="M418" s="67" t="n">
        <v>31.13324829243132</v>
      </c>
      <c r="N418" s="68" t="inlineStr">
        <is>
          <t>MATCH</t>
        </is>
      </c>
      <c r="O418" s="64" t="inlineStr"/>
      <c r="P418" s="66" t="n">
        <v>75.19695652173911</v>
      </c>
      <c r="Q418" s="66" t="n">
        <v>69.18119999999999</v>
      </c>
      <c r="R418" s="69" t="n">
        <v>0.8159904713997447</v>
      </c>
    </row>
    <row r="419">
      <c r="A419" s="64" t="n">
        <v>20</v>
      </c>
      <c r="B419" s="64" t="n">
        <v>12</v>
      </c>
      <c r="C419" s="64" t="inlineStr">
        <is>
          <t>REMOVE/INSTALL WORK EQUIPMENT</t>
        </is>
      </c>
      <c r="D419" s="64" t="inlineStr">
        <is>
          <t>427-N42-1140</t>
        </is>
      </c>
      <c r="E419" s="64" t="inlineStr">
        <is>
          <t>O-RING</t>
        </is>
      </c>
      <c r="F419" s="65" t="n">
        <v>8</v>
      </c>
      <c r="G419" s="66" t="n">
        <v>123.6</v>
      </c>
      <c r="H419" s="66" t="n">
        <v>988.8</v>
      </c>
      <c r="I419" s="66" t="n">
        <v>98.03375077842034</v>
      </c>
      <c r="J419" s="66" t="n">
        <v>784.2700062273627</v>
      </c>
      <c r="K419" s="66" t="n">
        <v>113.712</v>
      </c>
      <c r="L419" s="66" t="n">
        <v>909.696</v>
      </c>
      <c r="M419" s="67" t="n">
        <v>125.4259937726373</v>
      </c>
      <c r="N419" s="68" t="inlineStr">
        <is>
          <t>MATCH</t>
        </is>
      </c>
      <c r="O419" s="64" t="inlineStr"/>
      <c r="P419" s="66" t="n">
        <v>163.845</v>
      </c>
      <c r="Q419" s="66" t="n">
        <v>150.7374</v>
      </c>
      <c r="R419" s="69" t="n">
        <v>0.7543715096585188</v>
      </c>
    </row>
    <row r="420">
      <c r="A420" s="64" t="n">
        <v>20</v>
      </c>
      <c r="B420" s="64" t="n">
        <v>12</v>
      </c>
      <c r="C420" s="64" t="inlineStr">
        <is>
          <t>REMOVE/INSTALL WORK EQUIPMENT</t>
        </is>
      </c>
      <c r="D420" s="64" t="inlineStr">
        <is>
          <t>427-N42-1210</t>
        </is>
      </c>
      <c r="E420" s="64" t="inlineStr">
        <is>
          <t>O-RING</t>
        </is>
      </c>
      <c r="F420" s="65" t="n">
        <v>4</v>
      </c>
      <c r="G420" s="66" t="n">
        <v>110.88</v>
      </c>
      <c r="H420" s="66" t="n">
        <v>443.52</v>
      </c>
      <c r="I420" s="66" t="n">
        <v>87.94484050413631</v>
      </c>
      <c r="J420" s="66" t="n">
        <v>351.7793620165452</v>
      </c>
      <c r="K420" s="66" t="n">
        <v>102.0096</v>
      </c>
      <c r="L420" s="66" t="n">
        <v>408.0384</v>
      </c>
      <c r="M420" s="67" t="n">
        <v>56.25903798345479</v>
      </c>
      <c r="N420" s="68" t="inlineStr">
        <is>
          <t>MATCH</t>
        </is>
      </c>
      <c r="O420" s="64" t="inlineStr"/>
      <c r="P420" s="66" t="n">
        <v>145.5622826086957</v>
      </c>
      <c r="Q420" s="66" t="n">
        <v>133.9173</v>
      </c>
      <c r="R420" s="69" t="n">
        <v>0.7617357876838914</v>
      </c>
    </row>
    <row r="421">
      <c r="A421" s="64" t="n">
        <v>20</v>
      </c>
      <c r="B421" s="64" t="n">
        <v>12</v>
      </c>
      <c r="C421" s="64" t="inlineStr">
        <is>
          <t>REMOVE/INSTALL WORK EQUIPMENT</t>
        </is>
      </c>
      <c r="D421" s="64" t="inlineStr">
        <is>
          <t>FI</t>
        </is>
      </c>
      <c r="E421" s="64" t="inlineStr">
        <is>
          <t>FREIGHT IN</t>
        </is>
      </c>
      <c r="F421" s="65" t="n">
        <v>1</v>
      </c>
      <c r="G421" s="66" t="n">
        <v>18.99</v>
      </c>
      <c r="H421" s="66" t="n">
        <v>18.99</v>
      </c>
      <c r="I421" s="66" t="n">
        <v>15.06198161231555</v>
      </c>
      <c r="J421" s="66" t="n">
        <v>15.06198161231555</v>
      </c>
      <c r="K421" s="66" t="n">
        <v>17.4708</v>
      </c>
      <c r="L421" s="66" t="n">
        <v>17.4708</v>
      </c>
      <c r="M421" s="67" t="n">
        <v>2.408818387684448</v>
      </c>
      <c r="N421" s="63" t="inlineStr">
        <is>
          <t>NO MATCH</t>
        </is>
      </c>
      <c r="O421" s="64" t="inlineStr">
        <is>
          <t>Freight-in</t>
        </is>
      </c>
      <c r="P421" s="66" t="n"/>
      <c r="Q421" s="66" t="n"/>
      <c r="R421" s="69" t="n"/>
    </row>
    <row r="422">
      <c r="A422" s="64" t="n">
        <v>21</v>
      </c>
      <c r="B422" s="64" t="n">
        <v>14</v>
      </c>
      <c r="C422" s="64" t="inlineStr">
        <is>
          <t>ITEMS FOUND AFTER DISASSEMBLE</t>
        </is>
      </c>
      <c r="D422" s="64" t="inlineStr">
        <is>
          <t>01011-62005</t>
        </is>
      </c>
      <c r="E422" s="64" t="inlineStr">
        <is>
          <t>BOLT</t>
        </is>
      </c>
      <c r="F422" s="65" t="n">
        <v>4</v>
      </c>
      <c r="G422" s="66" t="n">
        <v>18.17</v>
      </c>
      <c r="H422" s="66" t="n">
        <v>72.68000000000001</v>
      </c>
      <c r="I422" s="66" t="n">
        <v>14.41159588708655</v>
      </c>
      <c r="J422" s="66" t="n">
        <v>57.64638354834621</v>
      </c>
      <c r="K422" s="66" t="n">
        <v>16.7164</v>
      </c>
      <c r="L422" s="66" t="n">
        <v>66.86560000000001</v>
      </c>
      <c r="M422" s="67" t="n">
        <v>9.219216451653807</v>
      </c>
      <c r="N422" s="68" t="inlineStr">
        <is>
          <t>MATCH</t>
        </is>
      </c>
      <c r="O422" s="64" t="inlineStr"/>
      <c r="P422" s="66" t="n">
        <v>22.275</v>
      </c>
      <c r="Q422" s="66" t="n">
        <v>20.493</v>
      </c>
      <c r="R422" s="69" t="n">
        <v>0.8157126823793491</v>
      </c>
    </row>
    <row r="423">
      <c r="A423" s="64" t="n">
        <v>21</v>
      </c>
      <c r="B423" s="64" t="n">
        <v>14</v>
      </c>
      <c r="C423" s="64" t="inlineStr">
        <is>
          <t>ITEMS FOUND AFTER DISASSEMBLE</t>
        </is>
      </c>
      <c r="D423" s="64" t="inlineStr">
        <is>
          <t>01643-32060</t>
        </is>
      </c>
      <c r="E423" s="64" t="inlineStr">
        <is>
          <t>WASHER</t>
        </is>
      </c>
      <c r="F423" s="65" t="n">
        <v>4</v>
      </c>
      <c r="G423" s="66" t="n">
        <v>2.03</v>
      </c>
      <c r="H423" s="66" t="n">
        <v>8.119999999999999</v>
      </c>
      <c r="I423" s="66" t="n">
        <v>1.610101246603505</v>
      </c>
      <c r="J423" s="66" t="n">
        <v>6.440404986414022</v>
      </c>
      <c r="K423" s="66" t="n">
        <v>1.8676</v>
      </c>
      <c r="L423" s="66" t="n">
        <v>7.4704</v>
      </c>
      <c r="M423" s="67" t="n">
        <v>1.029995013585978</v>
      </c>
      <c r="N423" s="68" t="inlineStr">
        <is>
          <t>MATCH</t>
        </is>
      </c>
      <c r="O423" s="64" t="inlineStr"/>
      <c r="P423" s="66" t="n">
        <v>2.485760869565218</v>
      </c>
      <c r="Q423" s="66" t="n">
        <v>2.2869</v>
      </c>
      <c r="R423" s="69" t="n">
        <v>0.8166513621059074</v>
      </c>
    </row>
    <row r="424">
      <c r="A424" s="64" t="n">
        <v>21</v>
      </c>
      <c r="B424" s="64" t="n">
        <v>14</v>
      </c>
      <c r="C424" s="64" t="inlineStr">
        <is>
          <t>ITEMS FOUND AFTER DISASSEMBLE</t>
        </is>
      </c>
      <c r="D424" s="64" t="inlineStr">
        <is>
          <t>07000-F2130</t>
        </is>
      </c>
      <c r="E424" s="64" t="inlineStr">
        <is>
          <t>O-RING</t>
        </is>
      </c>
      <c r="F424" s="65" t="n">
        <v>1</v>
      </c>
      <c r="G424" s="66" t="n">
        <v>18.69</v>
      </c>
      <c r="H424" s="66" t="n">
        <v>18.69</v>
      </c>
      <c r="I424" s="66" t="n">
        <v>14.82403561528055</v>
      </c>
      <c r="J424" s="66" t="n">
        <v>14.82403561528055</v>
      </c>
      <c r="K424" s="66" t="n">
        <v>17.1948</v>
      </c>
      <c r="L424" s="66" t="n">
        <v>17.1948</v>
      </c>
      <c r="M424" s="67" t="n">
        <v>2.370764384719449</v>
      </c>
      <c r="N424" s="68" t="inlineStr">
        <is>
          <t>MATCH</t>
        </is>
      </c>
      <c r="O424" s="64" t="inlineStr"/>
      <c r="P424" s="66" t="n">
        <v>22.90989130434782</v>
      </c>
      <c r="Q424" s="66" t="n">
        <v>21.0771</v>
      </c>
      <c r="R424" s="69" t="n">
        <v>0.8158048308353617</v>
      </c>
    </row>
    <row r="425">
      <c r="A425" s="64" t="n">
        <v>21</v>
      </c>
      <c r="B425" s="64" t="n">
        <v>14</v>
      </c>
      <c r="C425" s="64" t="inlineStr">
        <is>
          <t>ITEMS FOUND AFTER DISASSEMBLE</t>
        </is>
      </c>
      <c r="D425" s="64" t="inlineStr">
        <is>
          <t>07012-50150</t>
        </is>
      </c>
      <c r="E425" s="64" t="inlineStr">
        <is>
          <t>SEAL</t>
        </is>
      </c>
      <c r="F425" s="65" t="n">
        <v>1</v>
      </c>
      <c r="G425" s="66" t="n">
        <v>170.3</v>
      </c>
      <c r="H425" s="66" t="n">
        <v>170.3</v>
      </c>
      <c r="I425" s="66" t="n">
        <v>135.0740109835355</v>
      </c>
      <c r="J425" s="66" t="n">
        <v>135.0740109835355</v>
      </c>
      <c r="K425" s="66" t="n">
        <v>156.676</v>
      </c>
      <c r="L425" s="66" t="n">
        <v>156.676</v>
      </c>
      <c r="M425" s="67" t="n">
        <v>21.60198901646453</v>
      </c>
      <c r="N425" s="68" t="inlineStr">
        <is>
          <t>MATCH</t>
        </is>
      </c>
      <c r="O425" s="64" t="inlineStr"/>
      <c r="P425" s="66" t="n">
        <v>208.7070652173913</v>
      </c>
      <c r="Q425" s="66" t="n">
        <v>192.0105</v>
      </c>
      <c r="R425" s="69" t="n">
        <v>0.8159762096343692</v>
      </c>
    </row>
    <row r="426">
      <c r="A426" s="64" t="n">
        <v>21</v>
      </c>
      <c r="B426" s="64" t="n">
        <v>14</v>
      </c>
      <c r="C426" s="64" t="inlineStr">
        <is>
          <t>ITEMS FOUND AFTER DISASSEMBLE</t>
        </is>
      </c>
      <c r="D426" s="64" t="inlineStr">
        <is>
          <t>426-56-21330</t>
        </is>
      </c>
      <c r="E426" s="64" t="inlineStr">
        <is>
          <t>SEAL</t>
        </is>
      </c>
      <c r="F426" s="65" t="n">
        <v>1</v>
      </c>
      <c r="G426" s="66" t="n">
        <v>125.94</v>
      </c>
      <c r="H426" s="66" t="n">
        <v>125.94</v>
      </c>
      <c r="I426" s="66" t="n">
        <v>99.88972955529334</v>
      </c>
      <c r="J426" s="66" t="n">
        <v>99.88972955529334</v>
      </c>
      <c r="K426" s="66" t="n">
        <v>115.8648</v>
      </c>
      <c r="L426" s="66" t="n">
        <v>115.8648</v>
      </c>
      <c r="M426" s="67" t="n">
        <v>15.97507044470666</v>
      </c>
      <c r="N426" s="68" t="inlineStr">
        <is>
          <t>MATCH</t>
        </is>
      </c>
      <c r="O426" s="64" t="inlineStr"/>
      <c r="P426" s="66" t="n">
        <v>155.8389130434782</v>
      </c>
      <c r="Q426" s="66" t="n">
        <v>143.3718</v>
      </c>
      <c r="R426" s="69" t="n">
        <v>0.8081421869572678</v>
      </c>
    </row>
    <row r="427">
      <c r="A427" s="64" t="n">
        <v>21</v>
      </c>
      <c r="B427" s="64" t="n">
        <v>14</v>
      </c>
      <c r="C427" s="64" t="inlineStr">
        <is>
          <t>ITEMS FOUND AFTER DISASSEMBLE</t>
        </is>
      </c>
      <c r="D427" s="64" t="inlineStr">
        <is>
          <t>426-60-15190</t>
        </is>
      </c>
      <c r="E427" s="64" t="inlineStr">
        <is>
          <t>SPACER</t>
        </is>
      </c>
      <c r="F427" s="65" t="n">
        <v>4</v>
      </c>
      <c r="G427" s="66" t="n">
        <v>28.2</v>
      </c>
      <c r="H427" s="66" t="n">
        <v>112.8</v>
      </c>
      <c r="I427" s="66" t="n">
        <v>22.36692372129008</v>
      </c>
      <c r="J427" s="66" t="n">
        <v>89.46769488516031</v>
      </c>
      <c r="K427" s="66" t="n">
        <v>25.944</v>
      </c>
      <c r="L427" s="66" t="n">
        <v>103.776</v>
      </c>
      <c r="M427" s="67" t="n">
        <v>14.30830511483968</v>
      </c>
      <c r="N427" s="68" t="inlineStr">
        <is>
          <t>MATCH</t>
        </is>
      </c>
      <c r="O427" s="64" t="inlineStr"/>
      <c r="P427" s="66" t="n">
        <v>34.89749999999999</v>
      </c>
      <c r="Q427" s="66" t="n">
        <v>32.1057</v>
      </c>
      <c r="R427" s="69" t="n">
        <v>0.8080808080808082</v>
      </c>
    </row>
    <row r="428">
      <c r="A428" s="64" t="n">
        <v>21</v>
      </c>
      <c r="B428" s="64" t="n">
        <v>14</v>
      </c>
      <c r="C428" s="64" t="inlineStr">
        <is>
          <t>ITEMS FOUND AFTER DISASSEMBLE</t>
        </is>
      </c>
      <c r="D428" s="64" t="inlineStr">
        <is>
          <t>427-03-22901</t>
        </is>
      </c>
      <c r="E428" s="64" t="inlineStr">
        <is>
          <t>OIL COOLER ASSY</t>
        </is>
      </c>
      <c r="F428" s="65" t="n">
        <v>1</v>
      </c>
      <c r="G428" s="66" t="n">
        <v>25137.44</v>
      </c>
      <c r="H428" s="66" t="n">
        <v>25137.44</v>
      </c>
      <c r="I428" s="66" t="n">
        <v>19937.84407902504</v>
      </c>
      <c r="J428" s="66" t="n">
        <v>19937.84407902504</v>
      </c>
      <c r="K428" s="66" t="n">
        <v>23126.4448</v>
      </c>
      <c r="L428" s="66" t="n">
        <v>23126.4448</v>
      </c>
      <c r="M428" s="67" t="n">
        <v>3188.600720974966</v>
      </c>
      <c r="N428" s="68" t="inlineStr">
        <is>
          <t>MATCH</t>
        </is>
      </c>
      <c r="O428" s="64" t="inlineStr"/>
      <c r="P428" s="66" t="n">
        <v>31107.58630434782</v>
      </c>
      <c r="Q428" s="66" t="n">
        <v>28618.9794</v>
      </c>
      <c r="R428" s="69" t="n">
        <v>0.8080806962668976</v>
      </c>
    </row>
    <row r="429">
      <c r="A429" s="64" t="n">
        <v>21</v>
      </c>
      <c r="B429" s="64" t="n">
        <v>14</v>
      </c>
      <c r="C429" s="64" t="inlineStr">
        <is>
          <t>ITEMS FOUND AFTER DISASSEMBLE</t>
        </is>
      </c>
      <c r="D429" s="64" t="inlineStr">
        <is>
          <t>427-06-26230</t>
        </is>
      </c>
      <c r="E429" s="64" t="inlineStr">
        <is>
          <t>WIRING HARNESS</t>
        </is>
      </c>
      <c r="F429" s="65" t="n">
        <v>1</v>
      </c>
      <c r="G429" s="66" t="n">
        <v>824.61</v>
      </c>
      <c r="H429" s="66" t="n">
        <v>824.61</v>
      </c>
      <c r="I429" s="66" t="n">
        <v>654.0421620501068</v>
      </c>
      <c r="J429" s="66" t="n">
        <v>654.0421620501068</v>
      </c>
      <c r="K429" s="66" t="n">
        <v>758.6412</v>
      </c>
      <c r="L429" s="66" t="n">
        <v>758.6412</v>
      </c>
      <c r="M429" s="67" t="n">
        <v>104.5990379498933</v>
      </c>
      <c r="N429" s="68" t="inlineStr">
        <is>
          <t>MATCH</t>
        </is>
      </c>
      <c r="O429" s="64" t="inlineStr"/>
      <c r="P429" s="66" t="n">
        <v>1020.453260869565</v>
      </c>
      <c r="Q429" s="66" t="n">
        <v>938.8169999999999</v>
      </c>
      <c r="R429" s="69" t="n">
        <v>0.8080820862851867</v>
      </c>
    </row>
    <row r="430">
      <c r="A430" s="64" t="n">
        <v>21</v>
      </c>
      <c r="B430" s="64" t="n">
        <v>14</v>
      </c>
      <c r="C430" s="64" t="inlineStr">
        <is>
          <t>ITEMS FOUND AFTER DISASSEMBLE</t>
        </is>
      </c>
      <c r="D430" s="64" t="inlineStr">
        <is>
          <t>427-09-11110</t>
        </is>
      </c>
      <c r="E430" s="64" t="inlineStr">
        <is>
          <t>SEAL</t>
        </is>
      </c>
      <c r="F430" s="65" t="n">
        <v>6</v>
      </c>
      <c r="G430" s="66" t="n">
        <v>186.5</v>
      </c>
      <c r="H430" s="66" t="n">
        <v>1119</v>
      </c>
      <c r="I430" s="66" t="n">
        <v>147.9230948234255</v>
      </c>
      <c r="J430" s="66" t="n">
        <v>887.5385689405531</v>
      </c>
      <c r="K430" s="66" t="n">
        <v>171.58</v>
      </c>
      <c r="L430" s="66" t="n">
        <v>1029.48</v>
      </c>
      <c r="M430" s="67" t="n">
        <v>141.9414310594469</v>
      </c>
      <c r="N430" s="68" t="inlineStr">
        <is>
          <t>MATCH</t>
        </is>
      </c>
      <c r="O430" s="64" t="inlineStr"/>
      <c r="P430" s="66" t="n">
        <v>228.5608695652174</v>
      </c>
      <c r="Q430" s="66" t="n">
        <v>210.276</v>
      </c>
      <c r="R430" s="69" t="n">
        <v>0.815975194506268</v>
      </c>
    </row>
    <row r="431">
      <c r="A431" s="64" t="n">
        <v>21</v>
      </c>
      <c r="B431" s="64" t="n">
        <v>14</v>
      </c>
      <c r="C431" s="64" t="inlineStr">
        <is>
          <t>ITEMS FOUND AFTER DISASSEMBLE</t>
        </is>
      </c>
      <c r="D431" s="64" t="inlineStr">
        <is>
          <t>427-09-11120</t>
        </is>
      </c>
      <c r="E431" s="64" t="inlineStr">
        <is>
          <t>DUST SEAL</t>
        </is>
      </c>
      <c r="F431" s="65" t="n">
        <v>2</v>
      </c>
      <c r="G431" s="66" t="n">
        <v>109.29</v>
      </c>
      <c r="H431" s="66" t="n">
        <v>218.58</v>
      </c>
      <c r="I431" s="66" t="n">
        <v>86.68372671985081</v>
      </c>
      <c r="J431" s="66" t="n">
        <v>173.3674534397016</v>
      </c>
      <c r="K431" s="66" t="n">
        <v>100.5468</v>
      </c>
      <c r="L431" s="66" t="n">
        <v>201.0936</v>
      </c>
      <c r="M431" s="67" t="n">
        <v>27.72614656029839</v>
      </c>
      <c r="N431" s="68" t="inlineStr">
        <is>
          <t>MATCH</t>
        </is>
      </c>
      <c r="O431" s="64" t="inlineStr"/>
      <c r="P431" s="66" t="n">
        <v>133.9297826086956</v>
      </c>
      <c r="Q431" s="66" t="n">
        <v>123.2154</v>
      </c>
      <c r="R431" s="69" t="n">
        <v>0.8160246202990862</v>
      </c>
    </row>
    <row r="432">
      <c r="A432" s="64" t="n">
        <v>21</v>
      </c>
      <c r="B432" s="64" t="n">
        <v>14</v>
      </c>
      <c r="C432" s="64" t="inlineStr">
        <is>
          <t>ITEMS FOUND AFTER DISASSEMBLE</t>
        </is>
      </c>
      <c r="D432" s="64" t="inlineStr">
        <is>
          <t>427-22-21760</t>
        </is>
      </c>
      <c r="E432" s="64" t="inlineStr">
        <is>
          <t>SEAL</t>
        </is>
      </c>
      <c r="F432" s="65" t="n">
        <v>1</v>
      </c>
      <c r="G432" s="66" t="n">
        <v>87.16</v>
      </c>
      <c r="H432" s="66" t="n">
        <v>87.16</v>
      </c>
      <c r="I432" s="66" t="n">
        <v>69.13124367190224</v>
      </c>
      <c r="J432" s="66" t="n">
        <v>69.13124367190224</v>
      </c>
      <c r="K432" s="66" t="n">
        <v>80.1872</v>
      </c>
      <c r="L432" s="66" t="n">
        <v>80.1872</v>
      </c>
      <c r="M432" s="67" t="n">
        <v>11.05595632809776</v>
      </c>
      <c r="N432" s="68" t="inlineStr">
        <is>
          <t>MATCH</t>
        </is>
      </c>
      <c r="O432" s="64" t="inlineStr"/>
      <c r="P432" s="66" t="n">
        <v>107.8669565217391</v>
      </c>
      <c r="Q432" s="66" t="n">
        <v>99.2376</v>
      </c>
      <c r="R432" s="69" t="n">
        <v>0.8080324393173555</v>
      </c>
    </row>
    <row r="433">
      <c r="A433" s="64" t="n">
        <v>21</v>
      </c>
      <c r="B433" s="64" t="n">
        <v>14</v>
      </c>
      <c r="C433" s="64" t="inlineStr">
        <is>
          <t>ITEMS FOUND AFTER DISASSEMBLE</t>
        </is>
      </c>
      <c r="D433" s="64" t="inlineStr">
        <is>
          <t>427-46-12410</t>
        </is>
      </c>
      <c r="E433" s="64" t="inlineStr">
        <is>
          <t>SHAFT</t>
        </is>
      </c>
      <c r="F433" s="65" t="n">
        <v>4</v>
      </c>
      <c r="G433" s="66" t="n">
        <v>881.38</v>
      </c>
      <c r="H433" s="66" t="n">
        <v>3525.52</v>
      </c>
      <c r="I433" s="66" t="n">
        <v>699.0694762223634</v>
      </c>
      <c r="J433" s="66" t="n">
        <v>2796.277904889454</v>
      </c>
      <c r="K433" s="66" t="n">
        <v>810.8696</v>
      </c>
      <c r="L433" s="66" t="n">
        <v>3243.4784</v>
      </c>
      <c r="M433" s="67" t="n">
        <v>447.2004951105464</v>
      </c>
      <c r="N433" s="68" t="inlineStr">
        <is>
          <t>MATCH</t>
        </is>
      </c>
      <c r="O433" s="64" t="inlineStr"/>
      <c r="P433" s="66" t="n">
        <v>1090.71097826087</v>
      </c>
      <c r="Q433" s="66" t="n">
        <v>1003.4541</v>
      </c>
      <c r="R433" s="69" t="n">
        <v>0.8080784163421127</v>
      </c>
    </row>
    <row r="434">
      <c r="A434" s="64" t="n">
        <v>21</v>
      </c>
      <c r="B434" s="64" t="n">
        <v>14</v>
      </c>
      <c r="C434" s="64" t="inlineStr">
        <is>
          <t>ITEMS FOUND AFTER DISASSEMBLE</t>
        </is>
      </c>
      <c r="D434" s="64" t="inlineStr">
        <is>
          <t>427-46-12440</t>
        </is>
      </c>
      <c r="E434" s="64" t="inlineStr">
        <is>
          <t>BUSHING</t>
        </is>
      </c>
      <c r="F434" s="65" t="n">
        <v>4</v>
      </c>
      <c r="G434" s="66" t="n">
        <v>408.14</v>
      </c>
      <c r="H434" s="66" t="n">
        <v>1632.56</v>
      </c>
      <c r="I434" s="66" t="n">
        <v>323.7175974328841</v>
      </c>
      <c r="J434" s="66" t="n">
        <v>1294.870389731537</v>
      </c>
      <c r="K434" s="66" t="n">
        <v>375.4888</v>
      </c>
      <c r="L434" s="66" t="n">
        <v>1501.9552</v>
      </c>
      <c r="M434" s="67" t="n">
        <v>207.0848102684636</v>
      </c>
      <c r="N434" s="68" t="inlineStr">
        <is>
          <t>MATCH</t>
        </is>
      </c>
      <c r="O434" s="64" t="inlineStr"/>
      <c r="P434" s="66" t="n">
        <v>505.0829347826087</v>
      </c>
      <c r="Q434" s="66" t="n">
        <v>464.6763</v>
      </c>
      <c r="R434" s="69" t="n">
        <v>0.8080653134235596</v>
      </c>
    </row>
    <row r="435">
      <c r="A435" s="64" t="n">
        <v>21</v>
      </c>
      <c r="B435" s="64" t="n">
        <v>14</v>
      </c>
      <c r="C435" s="64" t="inlineStr">
        <is>
          <t>ITEMS FOUND AFTER DISASSEMBLE</t>
        </is>
      </c>
      <c r="D435" s="64" t="inlineStr">
        <is>
          <t>427-46-12450</t>
        </is>
      </c>
      <c r="E435" s="64" t="inlineStr">
        <is>
          <t>BUSHING P60</t>
        </is>
      </c>
      <c r="F435" s="65" t="n">
        <v>4</v>
      </c>
      <c r="G435" s="66" t="n">
        <v>238.13</v>
      </c>
      <c r="H435" s="66" t="n">
        <v>952.52</v>
      </c>
      <c r="I435" s="66" t="n">
        <v>188.8736009131491</v>
      </c>
      <c r="J435" s="66" t="n">
        <v>755.4944036525966</v>
      </c>
      <c r="K435" s="66" t="n">
        <v>219.0796</v>
      </c>
      <c r="L435" s="66" t="n">
        <v>876.3184</v>
      </c>
      <c r="M435" s="67" t="n">
        <v>120.8239963474034</v>
      </c>
      <c r="N435" s="68" t="inlineStr">
        <is>
          <t>MATCH</t>
        </is>
      </c>
      <c r="O435" s="64" t="inlineStr"/>
      <c r="P435" s="66" t="n">
        <v>294.6864130434783</v>
      </c>
      <c r="Q435" s="66" t="n">
        <v>271.1115</v>
      </c>
      <c r="R435" s="69" t="n">
        <v>0.8080793326730883</v>
      </c>
    </row>
    <row r="436">
      <c r="A436" s="64" t="n">
        <v>21</v>
      </c>
      <c r="B436" s="64" t="n">
        <v>14</v>
      </c>
      <c r="C436" s="64" t="inlineStr">
        <is>
          <t>ITEMS FOUND AFTER DISASSEMBLE</t>
        </is>
      </c>
      <c r="D436" s="64" t="inlineStr">
        <is>
          <t>427-46-16124</t>
        </is>
      </c>
      <c r="E436" s="64" t="inlineStr">
        <is>
          <t>TUBE</t>
        </is>
      </c>
      <c r="F436" s="65" t="n">
        <v>1</v>
      </c>
      <c r="G436" s="66" t="n">
        <v>153.72</v>
      </c>
      <c r="H436" s="66" t="n">
        <v>153.72</v>
      </c>
      <c r="I436" s="66" t="n">
        <v>121.9235288807344</v>
      </c>
      <c r="J436" s="66" t="n">
        <v>121.9235288807344</v>
      </c>
      <c r="K436" s="66" t="n">
        <v>141.4224</v>
      </c>
      <c r="L436" s="66" t="n">
        <v>141.4224</v>
      </c>
      <c r="M436" s="67" t="n">
        <v>19.49887111926559</v>
      </c>
      <c r="N436" s="68" t="inlineStr">
        <is>
          <t>MATCH</t>
        </is>
      </c>
      <c r="O436" s="64" t="inlineStr"/>
      <c r="P436" s="66" t="n">
        <v>190.230652173913</v>
      </c>
      <c r="Q436" s="66" t="n">
        <v>175.0122</v>
      </c>
      <c r="R436" s="69" t="n">
        <v>0.8080716658610086</v>
      </c>
    </row>
    <row r="437">
      <c r="A437" s="64" t="n">
        <v>21</v>
      </c>
      <c r="B437" s="64" t="n">
        <v>14</v>
      </c>
      <c r="C437" s="64" t="inlineStr">
        <is>
          <t>ITEMS FOUND AFTER DISASSEMBLE</t>
        </is>
      </c>
      <c r="D437" s="64" t="inlineStr">
        <is>
          <t>CRKD90A03</t>
        </is>
      </c>
      <c r="E437" s="64" t="inlineStr">
        <is>
          <t>ALTERNATOR</t>
        </is>
      </c>
      <c r="F437" s="65" t="n">
        <v>1</v>
      </c>
      <c r="G437" s="66" t="n">
        <v>500</v>
      </c>
      <c r="H437" s="66" t="n">
        <v>500</v>
      </c>
      <c r="I437" s="66" t="n">
        <v>396.5766617250014</v>
      </c>
      <c r="J437" s="66" t="n">
        <v>396.5766617250014</v>
      </c>
      <c r="K437" s="66" t="n">
        <v>460</v>
      </c>
      <c r="L437" s="66" t="n">
        <v>460</v>
      </c>
      <c r="M437" s="67" t="n">
        <v>63.42333827499863</v>
      </c>
      <c r="N437" s="63" t="inlineStr">
        <is>
          <t>NO MATCH</t>
        </is>
      </c>
      <c r="O437" s="64" t="inlineStr">
        <is>
          <t>Core charge / credit</t>
        </is>
      </c>
      <c r="P437" s="66" t="n"/>
      <c r="Q437" s="66" t="n"/>
      <c r="R437" s="69" t="n"/>
    </row>
    <row r="438">
      <c r="A438" s="64" t="n">
        <v>21</v>
      </c>
      <c r="B438" s="64" t="n">
        <v>14</v>
      </c>
      <c r="C438" s="64" t="inlineStr">
        <is>
          <t>ITEMS FOUND AFTER DISASSEMBLE</t>
        </is>
      </c>
      <c r="D438" s="64" t="inlineStr">
        <is>
          <t>FI</t>
        </is>
      </c>
      <c r="E438" s="64" t="inlineStr">
        <is>
          <t>FREIGHT IN</t>
        </is>
      </c>
      <c r="F438" s="65" t="n">
        <v>3</v>
      </c>
      <c r="G438" s="66" t="n">
        <v>255.89</v>
      </c>
      <c r="H438" s="66" t="n">
        <v>767.66</v>
      </c>
      <c r="I438" s="66" t="n">
        <v>202.9600039376212</v>
      </c>
      <c r="J438" s="66" t="n">
        <v>608.8720802796291</v>
      </c>
      <c r="K438" s="66" t="n">
        <v>235.4188</v>
      </c>
      <c r="L438" s="66" t="n">
        <v>706.2472</v>
      </c>
      <c r="M438" s="67" t="n">
        <v>97.37511972037089</v>
      </c>
      <c r="N438" s="63" t="inlineStr">
        <is>
          <t>NO MATCH</t>
        </is>
      </c>
      <c r="O438" s="64" t="inlineStr">
        <is>
          <t>Freight-in</t>
        </is>
      </c>
      <c r="P438" s="66" t="n"/>
      <c r="Q438" s="66" t="n"/>
      <c r="R438" s="69" t="n"/>
    </row>
    <row r="439">
      <c r="A439" s="64" t="n">
        <v>21</v>
      </c>
      <c r="B439" s="64" t="n">
        <v>14</v>
      </c>
      <c r="C439" s="64" t="inlineStr">
        <is>
          <t>ITEMS FOUND AFTER DISASSEMBLE</t>
        </is>
      </c>
      <c r="D439" s="64" t="inlineStr">
        <is>
          <t>RKD90A03</t>
        </is>
      </c>
      <c r="E439" s="64" t="inlineStr">
        <is>
          <t>ALTERNATOR</t>
        </is>
      </c>
      <c r="F439" s="65" t="n">
        <v>1</v>
      </c>
      <c r="G439" s="66" t="n">
        <v>1174.94</v>
      </c>
      <c r="H439" s="66" t="n">
        <v>1174.94</v>
      </c>
      <c r="I439" s="66" t="n">
        <v>931.9075658543463</v>
      </c>
      <c r="J439" s="66" t="n">
        <v>931.9075658543463</v>
      </c>
      <c r="K439" s="66" t="n">
        <v>1080.9448</v>
      </c>
      <c r="L439" s="66" t="n">
        <v>1080.9448</v>
      </c>
      <c r="M439" s="67" t="n">
        <v>149.0372341456537</v>
      </c>
      <c r="N439" s="68" t="inlineStr">
        <is>
          <t>MATCH</t>
        </is>
      </c>
      <c r="O439" s="64" t="inlineStr"/>
      <c r="P439" s="66" t="n">
        <v>1942.864239130434</v>
      </c>
      <c r="Q439" s="66" t="n">
        <v>1787.4351</v>
      </c>
      <c r="R439" s="69" t="n">
        <v>0.6047463205796956</v>
      </c>
    </row>
    <row r="440">
      <c r="A440" s="64" t="n">
        <v>22</v>
      </c>
      <c r="B440" s="64" t="n">
        <v>14</v>
      </c>
      <c r="C440" s="64" t="inlineStr">
        <is>
          <t>ITEMS FOUND AFTER DISASSEMBLE</t>
        </is>
      </c>
      <c r="D440" s="64" t="inlineStr">
        <is>
          <t>427-46-16230</t>
        </is>
      </c>
      <c r="E440" s="64" t="inlineStr">
        <is>
          <t>HOSE</t>
        </is>
      </c>
      <c r="F440" s="65" t="n">
        <v>1</v>
      </c>
      <c r="G440" s="66" t="n">
        <v>87.83</v>
      </c>
      <c r="H440" s="66" t="n">
        <v>87.83</v>
      </c>
      <c r="I440" s="66" t="n">
        <v>69.66265639861375</v>
      </c>
      <c r="J440" s="66" t="n">
        <v>69.66265639861375</v>
      </c>
      <c r="K440" s="66" t="n">
        <v>80.8036</v>
      </c>
      <c r="L440" s="66" t="n">
        <v>80.8036</v>
      </c>
      <c r="M440" s="67" t="n">
        <v>11.14094360138625</v>
      </c>
      <c r="N440" s="68" t="inlineStr">
        <is>
          <t>MATCH</t>
        </is>
      </c>
      <c r="O440" s="64" t="inlineStr"/>
      <c r="P440" s="66" t="n">
        <v>107.6409782608696</v>
      </c>
      <c r="Q440" s="66" t="n">
        <v>99.02970000000001</v>
      </c>
      <c r="R440" s="69" t="n">
        <v>0.8159531938398279</v>
      </c>
    </row>
    <row r="441">
      <c r="A441" s="64" t="n">
        <v>22</v>
      </c>
      <c r="B441" s="64" t="n">
        <v>14</v>
      </c>
      <c r="C441" s="64" t="inlineStr">
        <is>
          <t>ITEMS FOUND AFTER DISASSEMBLE</t>
        </is>
      </c>
      <c r="D441" s="64" t="inlineStr">
        <is>
          <t>427-54-26461</t>
        </is>
      </c>
      <c r="E441" s="64" t="inlineStr">
        <is>
          <t>MAT</t>
        </is>
      </c>
      <c r="F441" s="65" t="n">
        <v>1</v>
      </c>
      <c r="G441" s="66" t="n">
        <v>2034.35</v>
      </c>
      <c r="H441" s="66" t="n">
        <v>2034.35</v>
      </c>
      <c r="I441" s="66" t="n">
        <v>1613.551463560513</v>
      </c>
      <c r="J441" s="66" t="n">
        <v>1613.551463560513</v>
      </c>
      <c r="K441" s="66" t="n">
        <v>1871.602</v>
      </c>
      <c r="L441" s="66" t="n">
        <v>1871.602</v>
      </c>
      <c r="M441" s="67" t="n">
        <v>258.0505364394869</v>
      </c>
      <c r="N441" s="68" t="inlineStr">
        <is>
          <t>MATCH</t>
        </is>
      </c>
      <c r="O441" s="64" t="inlineStr"/>
      <c r="P441" s="66" t="n">
        <v>2493.185869565218</v>
      </c>
      <c r="Q441" s="66" t="n">
        <v>2293.731</v>
      </c>
      <c r="R441" s="69" t="n">
        <v>0.8159640341434979</v>
      </c>
    </row>
    <row r="442">
      <c r="A442" s="64" t="n">
        <v>22</v>
      </c>
      <c r="B442" s="64" t="n">
        <v>14</v>
      </c>
      <c r="C442" s="64" t="inlineStr">
        <is>
          <t>ITEMS FOUND AFTER DISASSEMBLE</t>
        </is>
      </c>
      <c r="D442" s="64" t="inlineStr">
        <is>
          <t>427-54-26480</t>
        </is>
      </c>
      <c r="E442" s="64" t="inlineStr">
        <is>
          <t>SHEET</t>
        </is>
      </c>
      <c r="F442" s="65" t="n">
        <v>1</v>
      </c>
      <c r="G442" s="66" t="n">
        <v>258.98</v>
      </c>
      <c r="H442" s="66" t="n">
        <v>258.98</v>
      </c>
      <c r="I442" s="66" t="n">
        <v>205.4108477070817</v>
      </c>
      <c r="J442" s="66" t="n">
        <v>205.4108477070817</v>
      </c>
      <c r="K442" s="66" t="n">
        <v>238.2616</v>
      </c>
      <c r="L442" s="66" t="n">
        <v>238.2616</v>
      </c>
      <c r="M442" s="67" t="n">
        <v>32.85075229291829</v>
      </c>
      <c r="N442" s="68" t="inlineStr">
        <is>
          <t>MATCH</t>
        </is>
      </c>
      <c r="O442" s="64" t="inlineStr"/>
      <c r="P442" s="66" t="n">
        <v>320.4909782608696</v>
      </c>
      <c r="Q442" s="66" t="n">
        <v>294.8517</v>
      </c>
      <c r="R442" s="69" t="n">
        <v>0.8080726683956715</v>
      </c>
    </row>
    <row r="443">
      <c r="A443" s="64" t="n">
        <v>22</v>
      </c>
      <c r="B443" s="64" t="n">
        <v>14</v>
      </c>
      <c r="C443" s="64" t="inlineStr">
        <is>
          <t>ITEMS FOUND AFTER DISASSEMBLE</t>
        </is>
      </c>
      <c r="D443" s="64" t="inlineStr">
        <is>
          <t>427-70-11942</t>
        </is>
      </c>
      <c r="E443" s="64" t="inlineStr">
        <is>
          <t>PIN</t>
        </is>
      </c>
      <c r="F443" s="65" t="n">
        <v>2</v>
      </c>
      <c r="G443" s="66" t="n">
        <v>2165.95</v>
      </c>
      <c r="H443" s="66" t="n">
        <v>4331.9</v>
      </c>
      <c r="I443" s="66" t="n">
        <v>1717.930440926533</v>
      </c>
      <c r="J443" s="66" t="n">
        <v>3435.860881853067</v>
      </c>
      <c r="K443" s="66" t="n">
        <v>1992.674</v>
      </c>
      <c r="L443" s="66" t="n">
        <v>3985.348</v>
      </c>
      <c r="M443" s="67" t="n">
        <v>549.4871181469334</v>
      </c>
      <c r="N443" s="68" t="inlineStr">
        <is>
          <t>MATCH</t>
        </is>
      </c>
      <c r="O443" s="64" t="inlineStr"/>
      <c r="P443" s="66" t="n">
        <v>2654.459021739131</v>
      </c>
      <c r="Q443" s="66" t="n">
        <v>2442.1023</v>
      </c>
      <c r="R443" s="69" t="n">
        <v>0.8159666366146905</v>
      </c>
    </row>
    <row r="444">
      <c r="A444" s="64" t="n">
        <v>22</v>
      </c>
      <c r="B444" s="64" t="n">
        <v>14</v>
      </c>
      <c r="C444" s="64" t="inlineStr">
        <is>
          <t>ITEMS FOUND AFTER DISASSEMBLE</t>
        </is>
      </c>
      <c r="D444" s="64" t="inlineStr">
        <is>
          <t>427-70-11972</t>
        </is>
      </c>
      <c r="E444" s="64" t="inlineStr">
        <is>
          <t>PIN</t>
        </is>
      </c>
      <c r="F444" s="65" t="n">
        <v>2</v>
      </c>
      <c r="G444" s="66" t="n">
        <v>2364.37</v>
      </c>
      <c r="H444" s="66" t="n">
        <v>4728.74</v>
      </c>
      <c r="I444" s="66" t="n">
        <v>1875.307923365483</v>
      </c>
      <c r="J444" s="66" t="n">
        <v>3750.615846730966</v>
      </c>
      <c r="K444" s="66" t="n">
        <v>2175.2204</v>
      </c>
      <c r="L444" s="66" t="n">
        <v>4350.4408</v>
      </c>
      <c r="M444" s="67" t="n">
        <v>599.8249532690343</v>
      </c>
      <c r="N444" s="68" t="inlineStr">
        <is>
          <t>MATCH</t>
        </is>
      </c>
      <c r="O444" s="64" t="inlineStr"/>
      <c r="P444" s="66" t="n">
        <v>2745.130108695652</v>
      </c>
      <c r="Q444" s="66" t="n">
        <v>2525.5197</v>
      </c>
      <c r="R444" s="69" t="n">
        <v>0.8612961522335382</v>
      </c>
    </row>
    <row r="445">
      <c r="A445" s="64" t="n">
        <v>22</v>
      </c>
      <c r="B445" s="64" t="n">
        <v>14</v>
      </c>
      <c r="C445" s="64" t="inlineStr">
        <is>
          <t>ITEMS FOUND AFTER DISASSEMBLE</t>
        </is>
      </c>
      <c r="D445" s="64" t="inlineStr">
        <is>
          <t>427-70-11982</t>
        </is>
      </c>
      <c r="E445" s="64" t="inlineStr">
        <is>
          <t>PIN</t>
        </is>
      </c>
      <c r="F445" s="65" t="n">
        <v>2</v>
      </c>
      <c r="G445" s="66" t="n">
        <v>3984.62</v>
      </c>
      <c r="H445" s="66" t="n">
        <v>7969.24</v>
      </c>
      <c r="I445" s="66" t="n">
        <v>3160.41459568535</v>
      </c>
      <c r="J445" s="66" t="n">
        <v>6320.8291913707</v>
      </c>
      <c r="K445" s="66" t="n">
        <v>3665.8504</v>
      </c>
      <c r="L445" s="66" t="n">
        <v>7331.700800000001</v>
      </c>
      <c r="M445" s="67" t="n">
        <v>1010.871608629301</v>
      </c>
      <c r="N445" s="68" t="inlineStr">
        <is>
          <t>MATCH</t>
        </is>
      </c>
      <c r="O445" s="64" t="inlineStr"/>
      <c r="P445" s="66" t="n">
        <v>5395.779782608695</v>
      </c>
      <c r="Q445" s="66" t="n">
        <v>4964.1174</v>
      </c>
      <c r="R445" s="69" t="n">
        <v>0.7384697227345993</v>
      </c>
    </row>
    <row r="446">
      <c r="A446" s="64" t="n">
        <v>22</v>
      </c>
      <c r="B446" s="64" t="n">
        <v>14</v>
      </c>
      <c r="C446" s="64" t="inlineStr">
        <is>
          <t>ITEMS FOUND AFTER DISASSEMBLE</t>
        </is>
      </c>
      <c r="D446" s="64" t="inlineStr">
        <is>
          <t>427-70-14173</t>
        </is>
      </c>
      <c r="E446" s="64" t="inlineStr">
        <is>
          <t>TUBE</t>
        </is>
      </c>
      <c r="F446" s="65" t="n">
        <v>1</v>
      </c>
      <c r="G446" s="66" t="n">
        <v>123.91</v>
      </c>
      <c r="H446" s="66" t="n">
        <v>123.91</v>
      </c>
      <c r="I446" s="66" t="n">
        <v>98.27962830868984</v>
      </c>
      <c r="J446" s="66" t="n">
        <v>98.27962830868984</v>
      </c>
      <c r="K446" s="66" t="n">
        <v>113.9972</v>
      </c>
      <c r="L446" s="66" t="n">
        <v>113.9972</v>
      </c>
      <c r="M446" s="67" t="n">
        <v>15.71757169131017</v>
      </c>
      <c r="N446" s="68" t="inlineStr">
        <is>
          <t>MATCH</t>
        </is>
      </c>
      <c r="O446" s="64" t="inlineStr"/>
      <c r="P446" s="66" t="n">
        <v>153.3423913043478</v>
      </c>
      <c r="Q446" s="66" t="n">
        <v>141.075</v>
      </c>
      <c r="R446" s="69" t="n">
        <v>0.8080609604820131</v>
      </c>
    </row>
    <row r="447">
      <c r="A447" s="64" t="n">
        <v>22</v>
      </c>
      <c r="B447" s="64" t="n">
        <v>14</v>
      </c>
      <c r="C447" s="64" t="inlineStr">
        <is>
          <t>ITEMS FOUND AFTER DISASSEMBLE</t>
        </is>
      </c>
      <c r="D447" s="64" t="inlineStr">
        <is>
          <t>56B-06-15610</t>
        </is>
      </c>
      <c r="E447" s="64" t="inlineStr">
        <is>
          <t>SWITCH</t>
        </is>
      </c>
      <c r="F447" s="65" t="n">
        <v>1</v>
      </c>
      <c r="G447" s="66" t="n">
        <v>448.34</v>
      </c>
      <c r="H447" s="66" t="n">
        <v>448.34</v>
      </c>
      <c r="I447" s="66" t="n">
        <v>355.6023610355742</v>
      </c>
      <c r="J447" s="66" t="n">
        <v>355.6023610355742</v>
      </c>
      <c r="K447" s="66" t="n">
        <v>412.4728</v>
      </c>
      <c r="L447" s="66" t="n">
        <v>412.4728</v>
      </c>
      <c r="M447" s="67" t="n">
        <v>56.87043896442577</v>
      </c>
      <c r="N447" s="68" t="inlineStr">
        <is>
          <t>MATCH</t>
        </is>
      </c>
      <c r="O447" s="64" t="inlineStr"/>
      <c r="P447" s="66" t="n">
        <v>588.0492391304348</v>
      </c>
      <c r="Q447" s="66" t="n">
        <v>541.0053</v>
      </c>
      <c r="R447" s="69" t="n">
        <v>0.7624191482042781</v>
      </c>
    </row>
    <row r="448">
      <c r="A448" s="13" t="n">
        <v>22</v>
      </c>
      <c r="B448" s="13" t="n">
        <v>15</v>
      </c>
      <c r="C448" s="13" t="inlineStr">
        <is>
          <t>REPLACE WIRING HARNESSES</t>
        </is>
      </c>
      <c r="D448" s="13" t="inlineStr">
        <is>
          <t>427-06-25116</t>
        </is>
      </c>
      <c r="E448" s="13" t="inlineStr">
        <is>
          <t>WIRING HARNE</t>
        </is>
      </c>
      <c r="F448" s="34" t="n">
        <v>1</v>
      </c>
      <c r="G448" s="14" t="n">
        <v>8078.08</v>
      </c>
      <c r="H448" s="14" t="n">
        <v>8078.08</v>
      </c>
      <c r="I448" s="14" t="n">
        <v>6407.155999094998</v>
      </c>
      <c r="J448" s="14" t="n">
        <v>6407.155999094998</v>
      </c>
      <c r="K448" s="14" t="n">
        <v>7431.8336</v>
      </c>
      <c r="L448" s="14" t="n">
        <v>7431.8336</v>
      </c>
      <c r="M448" s="61" t="n">
        <v>1024.677600905002</v>
      </c>
      <c r="N448" s="54" t="inlineStr">
        <is>
          <t>MATCH</t>
        </is>
      </c>
      <c r="O448" s="13" t="inlineStr"/>
      <c r="P448" s="14" t="n">
        <v>10396.485</v>
      </c>
      <c r="Q448" s="14" t="n">
        <v>9564.7662</v>
      </c>
      <c r="R448" s="62" t="n">
        <v>0.7770010729587934</v>
      </c>
    </row>
    <row r="449">
      <c r="A449" s="13" t="n">
        <v>22</v>
      </c>
      <c r="B449" s="13" t="n">
        <v>15</v>
      </c>
      <c r="C449" s="13" t="inlineStr">
        <is>
          <t>REPLACE WIRING HARNESSES</t>
        </is>
      </c>
      <c r="D449" s="13" t="inlineStr">
        <is>
          <t>427-06-25214</t>
        </is>
      </c>
      <c r="E449" s="13" t="inlineStr">
        <is>
          <t>WIRING HARNE</t>
        </is>
      </c>
      <c r="F449" s="34" t="n">
        <v>1</v>
      </c>
      <c r="G449" s="14" t="n">
        <v>1329.3</v>
      </c>
      <c r="H449" s="14" t="n">
        <v>1329.3</v>
      </c>
      <c r="I449" s="14" t="n">
        <v>1054.338712862089</v>
      </c>
      <c r="J449" s="14" t="n">
        <v>1054.338712862089</v>
      </c>
      <c r="K449" s="14" t="n">
        <v>1222.956</v>
      </c>
      <c r="L449" s="14" t="n">
        <v>1222.956</v>
      </c>
      <c r="M449" s="61" t="n">
        <v>168.6172871379113</v>
      </c>
      <c r="N449" s="54" t="inlineStr">
        <is>
          <t>MATCH</t>
        </is>
      </c>
      <c r="O449" s="13" t="inlineStr"/>
      <c r="P449" s="14" t="n">
        <v>1710.816847826087</v>
      </c>
      <c r="Q449" s="14" t="n">
        <v>1573.9515</v>
      </c>
      <c r="R449" s="62" t="n">
        <v>0.7769972581747278</v>
      </c>
    </row>
    <row r="450">
      <c r="A450" s="13" t="n">
        <v>22</v>
      </c>
      <c r="B450" s="13" t="n">
        <v>15</v>
      </c>
      <c r="C450" s="13" t="inlineStr">
        <is>
          <t>REPLACE WIRING HARNESSES</t>
        </is>
      </c>
      <c r="D450" s="13" t="inlineStr">
        <is>
          <t>427-06-25422</t>
        </is>
      </c>
      <c r="E450" s="13" t="inlineStr">
        <is>
          <t>WIRING HARNESS</t>
        </is>
      </c>
      <c r="F450" s="34" t="n">
        <v>1</v>
      </c>
      <c r="G450" s="14" t="n">
        <v>784.29</v>
      </c>
      <c r="H450" s="14" t="n">
        <v>784.29</v>
      </c>
      <c r="I450" s="14" t="n">
        <v>622.0622200486026</v>
      </c>
      <c r="J450" s="14" t="n">
        <v>622.0622200486026</v>
      </c>
      <c r="K450" s="14" t="n">
        <v>721.5468</v>
      </c>
      <c r="L450" s="14" t="n">
        <v>721.5468</v>
      </c>
      <c r="M450" s="61" t="n">
        <v>99.48457995139734</v>
      </c>
      <c r="N450" s="54" t="inlineStr">
        <is>
          <t>MATCH</t>
        </is>
      </c>
      <c r="O450" s="13" t="inlineStr"/>
      <c r="P450" s="14" t="n">
        <v>961.1823913043479</v>
      </c>
      <c r="Q450" s="14" t="n">
        <v>884.2878000000001</v>
      </c>
      <c r="R450" s="62" t="n">
        <v>0.8159637620240831</v>
      </c>
    </row>
    <row r="451">
      <c r="A451" s="13" t="n">
        <v>22</v>
      </c>
      <c r="B451" s="13" t="n">
        <v>15</v>
      </c>
      <c r="C451" s="13" t="inlineStr">
        <is>
          <t>REPLACE WIRING HARNESSES</t>
        </is>
      </c>
      <c r="D451" s="13" t="inlineStr">
        <is>
          <t>427-06-25542</t>
        </is>
      </c>
      <c r="E451" s="13" t="inlineStr">
        <is>
          <t>WIRING HARNESS</t>
        </is>
      </c>
      <c r="F451" s="34" t="n">
        <v>1</v>
      </c>
      <c r="G451" s="14" t="n">
        <v>232.52</v>
      </c>
      <c r="H451" s="14" t="n">
        <v>232.52</v>
      </c>
      <c r="I451" s="14" t="n">
        <v>184.4240107685947</v>
      </c>
      <c r="J451" s="14" t="n">
        <v>184.4240107685947</v>
      </c>
      <c r="K451" s="14" t="n">
        <v>213.9184</v>
      </c>
      <c r="L451" s="14" t="n">
        <v>213.9184</v>
      </c>
      <c r="M451" s="61" t="n">
        <v>29.49438923140536</v>
      </c>
      <c r="N451" s="54" t="inlineStr">
        <is>
          <t>MATCH</t>
        </is>
      </c>
      <c r="O451" s="13" t="inlineStr"/>
      <c r="P451" s="14" t="n">
        <v>287.745652173913</v>
      </c>
      <c r="Q451" s="14" t="n">
        <v>264.726</v>
      </c>
      <c r="R451" s="62" t="n">
        <v>0.8080747640957067</v>
      </c>
    </row>
    <row r="452">
      <c r="A452" s="13" t="n">
        <v>22</v>
      </c>
      <c r="B452" s="13" t="n">
        <v>15</v>
      </c>
      <c r="C452" s="13" t="inlineStr">
        <is>
          <t>REPLACE WIRING HARNESSES</t>
        </is>
      </c>
      <c r="D452" s="13" t="inlineStr">
        <is>
          <t>427-06-26280</t>
        </is>
      </c>
      <c r="E452" s="13" t="inlineStr">
        <is>
          <t>WIRING HARNESS</t>
        </is>
      </c>
      <c r="F452" s="34" t="n">
        <v>1</v>
      </c>
      <c r="G452" s="14" t="n">
        <v>4461.88</v>
      </c>
      <c r="H452" s="14" t="n">
        <v>4461.88</v>
      </c>
      <c r="I452" s="14" t="n">
        <v>3538.954950835098</v>
      </c>
      <c r="J452" s="14" t="n">
        <v>3538.954950835098</v>
      </c>
      <c r="K452" s="14" t="n">
        <v>4104.9296</v>
      </c>
      <c r="L452" s="14" t="n">
        <v>4104.9296</v>
      </c>
      <c r="M452" s="61" t="n">
        <v>565.9746491649021</v>
      </c>
      <c r="N452" s="54" t="inlineStr">
        <is>
          <t>MATCH</t>
        </is>
      </c>
      <c r="O452" s="13" t="inlineStr"/>
      <c r="P452" s="14" t="n">
        <v>5521.574347826087</v>
      </c>
      <c r="Q452" s="14" t="n">
        <v>5079.8484</v>
      </c>
      <c r="R452" s="62" t="n">
        <v>0.8080811230508376</v>
      </c>
    </row>
    <row r="453">
      <c r="A453" s="19" t="n"/>
      <c r="B453" s="19" t="n"/>
      <c r="C453" s="19" t="n"/>
      <c r="D453" s="19" t="n"/>
      <c r="E453" s="16" t="inlineStr">
        <is>
          <t>TOTALS — parts lines only (sublet excluded)</t>
        </is>
      </c>
      <c r="F453" s="19" t="n"/>
      <c r="G453" s="19" t="n"/>
      <c r="H453" s="17" t="n">
        <v>506651.07</v>
      </c>
      <c r="I453" s="19" t="n"/>
      <c r="J453" s="17" t="n">
        <v>401851.98</v>
      </c>
      <c r="K453" s="19" t="n"/>
      <c r="L453" s="17" t="n">
        <v>466118.9844</v>
      </c>
      <c r="M453" s="17" t="n">
        <v>64267.00440000003</v>
      </c>
      <c r="N453" s="19" t="n"/>
      <c r="O453" s="19" t="n"/>
      <c r="P453" s="19" t="n"/>
      <c r="Q453" s="19" t="n"/>
      <c r="R453" s="19" t="n"/>
    </row>
  </sheetData>
  <autoFilter ref="A4:R452"/>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2026-09-11T13:49:44Z</dcterms:created>
  <dcterms:modified xsi:type="dcterms:W3CDTF">2026-09-11T13:49:44Z</dcterms:modified>
</cp:coreProperties>
</file>